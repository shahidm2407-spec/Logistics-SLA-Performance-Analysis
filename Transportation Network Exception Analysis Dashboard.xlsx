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\Projects\Transportation Network Exception Analysis\"/>
    </mc:Choice>
  </mc:AlternateContent>
  <xr:revisionPtr revIDLastSave="0" documentId="13_ncr:1_{1F41E482-9B94-4C73-ADFF-8864A91FDE70}" xr6:coauthVersionLast="47" xr6:coauthVersionMax="47" xr10:uidLastSave="{00000000-0000-0000-0000-000000000000}"/>
  <bookViews>
    <workbookView xWindow="-108" yWindow="-108" windowWidth="23256" windowHeight="12456" activeTab="3" xr2:uid="{9E4E8F30-57C4-48F3-A62E-14DE106CB506}"/>
  </bookViews>
  <sheets>
    <sheet name="Random Values With Formulas" sheetId="1" r:id="rId1"/>
    <sheet name="Fixed Values" sheetId="2" r:id="rId2"/>
    <sheet name="Table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5" i="1"/>
  <c r="C6" i="1"/>
  <c r="C7" i="1"/>
  <c r="E2" i="1"/>
  <c r="Q6" i="4"/>
  <c r="L6" i="4"/>
  <c r="G6" i="4"/>
  <c r="B6" i="4"/>
  <c r="D36" i="3"/>
  <c r="D37" i="3"/>
  <c r="D38" i="3"/>
  <c r="D39" i="3"/>
  <c r="D40" i="3"/>
  <c r="D35" i="3"/>
  <c r="D21" i="3"/>
  <c r="D20" i="3"/>
  <c r="D19" i="3"/>
  <c r="D18" i="3"/>
  <c r="C4" i="3"/>
  <c r="D12" i="3"/>
  <c r="D11" i="3"/>
  <c r="D10" i="3"/>
  <c r="D9" i="3"/>
  <c r="D13" i="3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H181" i="1" a="1"/>
  <c r="H181" i="1" s="1"/>
  <c r="H180" i="1" a="1"/>
  <c r="H180" i="1" s="1"/>
  <c r="H179" i="1" a="1"/>
  <c r="H179" i="1" s="1"/>
  <c r="H178" i="1" a="1"/>
  <c r="H178" i="1" s="1"/>
  <c r="H177" i="1" a="1"/>
  <c r="H177" i="1" s="1"/>
  <c r="H176" i="1" a="1"/>
  <c r="H176" i="1" s="1"/>
  <c r="H175" i="1" a="1"/>
  <c r="H175" i="1" s="1"/>
  <c r="H174" i="1" a="1"/>
  <c r="H174" i="1" s="1"/>
  <c r="H173" i="1" a="1"/>
  <c r="H173" i="1" s="1"/>
  <c r="H172" i="1" a="1"/>
  <c r="H172" i="1" s="1"/>
  <c r="H171" i="1" a="1"/>
  <c r="H171" i="1" s="1"/>
  <c r="H170" i="1" a="1"/>
  <c r="H170" i="1" s="1"/>
  <c r="H169" i="1" a="1"/>
  <c r="H169" i="1" s="1"/>
  <c r="H168" i="1" a="1"/>
  <c r="H168" i="1" s="1"/>
  <c r="H167" i="1" a="1"/>
  <c r="H167" i="1" s="1"/>
  <c r="H166" i="1" a="1"/>
  <c r="H166" i="1" s="1"/>
  <c r="H165" i="1" a="1"/>
  <c r="H165" i="1" s="1"/>
  <c r="H164" i="1" a="1"/>
  <c r="H164" i="1" s="1"/>
  <c r="H163" i="1" a="1"/>
  <c r="H163" i="1" s="1"/>
  <c r="H162" i="1" a="1"/>
  <c r="H162" i="1" s="1"/>
  <c r="H161" i="1" a="1"/>
  <c r="H161" i="1" s="1"/>
  <c r="H160" i="1" a="1"/>
  <c r="H160" i="1" s="1"/>
  <c r="H159" i="1" a="1"/>
  <c r="H159" i="1" s="1"/>
  <c r="H158" i="1" a="1"/>
  <c r="H158" i="1" s="1"/>
  <c r="H157" i="1" a="1"/>
  <c r="H157" i="1" s="1"/>
  <c r="H156" i="1" a="1"/>
  <c r="H156" i="1" s="1"/>
  <c r="H155" i="1" a="1"/>
  <c r="H155" i="1" s="1"/>
  <c r="H154" i="1" a="1"/>
  <c r="H154" i="1" s="1"/>
  <c r="H153" i="1" a="1"/>
  <c r="H153" i="1" s="1"/>
  <c r="H152" i="1" a="1"/>
  <c r="H152" i="1" s="1"/>
  <c r="H151" i="1" a="1"/>
  <c r="H151" i="1" s="1"/>
  <c r="H150" i="1" a="1"/>
  <c r="H150" i="1" s="1"/>
  <c r="H149" i="1" a="1"/>
  <c r="H149" i="1" s="1"/>
  <c r="H148" i="1" a="1"/>
  <c r="H148" i="1" s="1"/>
  <c r="H147" i="1" a="1"/>
  <c r="H147" i="1" s="1"/>
  <c r="H146" i="1" a="1"/>
  <c r="H146" i="1" s="1"/>
  <c r="H145" i="1" a="1"/>
  <c r="H145" i="1" s="1"/>
  <c r="H144" i="1" a="1"/>
  <c r="H144" i="1" s="1"/>
  <c r="H143" i="1" a="1"/>
  <c r="H143" i="1" s="1"/>
  <c r="H142" i="1" a="1"/>
  <c r="H14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G181" i="1" s="1"/>
  <c r="I181" i="1" s="1"/>
  <c r="E180" i="1"/>
  <c r="F180" i="1" s="1"/>
  <c r="G180" i="1" s="1"/>
  <c r="I180" i="1" s="1"/>
  <c r="E179" i="1"/>
  <c r="F179" i="1" s="1"/>
  <c r="G179" i="1" s="1"/>
  <c r="I179" i="1" s="1"/>
  <c r="E178" i="1"/>
  <c r="F178" i="1" s="1"/>
  <c r="G178" i="1" s="1"/>
  <c r="I178" i="1" s="1"/>
  <c r="E177" i="1"/>
  <c r="F177" i="1" s="1"/>
  <c r="G177" i="1" s="1"/>
  <c r="I177" i="1" s="1"/>
  <c r="E176" i="1"/>
  <c r="F176" i="1" s="1"/>
  <c r="G176" i="1" s="1"/>
  <c r="I176" i="1" s="1"/>
  <c r="E175" i="1"/>
  <c r="F175" i="1" s="1"/>
  <c r="G175" i="1" s="1"/>
  <c r="I175" i="1" s="1"/>
  <c r="E174" i="1"/>
  <c r="F174" i="1" s="1"/>
  <c r="G174" i="1" s="1"/>
  <c r="I174" i="1" s="1"/>
  <c r="E173" i="1"/>
  <c r="F173" i="1" s="1"/>
  <c r="G173" i="1" s="1"/>
  <c r="I173" i="1" s="1"/>
  <c r="E172" i="1"/>
  <c r="F172" i="1" s="1"/>
  <c r="G172" i="1" s="1"/>
  <c r="I172" i="1" s="1"/>
  <c r="E171" i="1"/>
  <c r="F171" i="1" s="1"/>
  <c r="G171" i="1" s="1"/>
  <c r="I171" i="1" s="1"/>
  <c r="E170" i="1"/>
  <c r="F170" i="1" s="1"/>
  <c r="G170" i="1" s="1"/>
  <c r="I170" i="1" s="1"/>
  <c r="E169" i="1"/>
  <c r="F169" i="1" s="1"/>
  <c r="G169" i="1" s="1"/>
  <c r="I169" i="1" s="1"/>
  <c r="E168" i="1"/>
  <c r="F168" i="1" s="1"/>
  <c r="G168" i="1" s="1"/>
  <c r="I168" i="1" s="1"/>
  <c r="E167" i="1"/>
  <c r="F167" i="1" s="1"/>
  <c r="G167" i="1" s="1"/>
  <c r="I167" i="1" s="1"/>
  <c r="E166" i="1"/>
  <c r="F166" i="1" s="1"/>
  <c r="G166" i="1" s="1"/>
  <c r="I166" i="1" s="1"/>
  <c r="E165" i="1"/>
  <c r="F165" i="1" s="1"/>
  <c r="G165" i="1" s="1"/>
  <c r="I165" i="1" s="1"/>
  <c r="E164" i="1"/>
  <c r="F164" i="1" s="1"/>
  <c r="G164" i="1" s="1"/>
  <c r="I164" i="1" s="1"/>
  <c r="E163" i="1"/>
  <c r="F163" i="1" s="1"/>
  <c r="G163" i="1" s="1"/>
  <c r="I163" i="1" s="1"/>
  <c r="E162" i="1"/>
  <c r="F162" i="1" s="1"/>
  <c r="G162" i="1" s="1"/>
  <c r="I162" i="1" s="1"/>
  <c r="E161" i="1"/>
  <c r="F161" i="1" s="1"/>
  <c r="G161" i="1" s="1"/>
  <c r="I161" i="1" s="1"/>
  <c r="E160" i="1"/>
  <c r="F160" i="1" s="1"/>
  <c r="G160" i="1" s="1"/>
  <c r="I160" i="1" s="1"/>
  <c r="E159" i="1"/>
  <c r="F159" i="1" s="1"/>
  <c r="G159" i="1" s="1"/>
  <c r="I159" i="1" s="1"/>
  <c r="E158" i="1"/>
  <c r="F158" i="1" s="1"/>
  <c r="G158" i="1" s="1"/>
  <c r="I158" i="1" s="1"/>
  <c r="E157" i="1"/>
  <c r="F157" i="1" s="1"/>
  <c r="G157" i="1" s="1"/>
  <c r="I157" i="1" s="1"/>
  <c r="E156" i="1"/>
  <c r="F156" i="1" s="1"/>
  <c r="G156" i="1" s="1"/>
  <c r="I156" i="1" s="1"/>
  <c r="E155" i="1"/>
  <c r="F155" i="1" s="1"/>
  <c r="G155" i="1" s="1"/>
  <c r="I155" i="1" s="1"/>
  <c r="E154" i="1"/>
  <c r="F154" i="1" s="1"/>
  <c r="G154" i="1" s="1"/>
  <c r="I154" i="1" s="1"/>
  <c r="E153" i="1"/>
  <c r="F153" i="1" s="1"/>
  <c r="G153" i="1" s="1"/>
  <c r="I153" i="1" s="1"/>
  <c r="E152" i="1"/>
  <c r="F152" i="1" s="1"/>
  <c r="G152" i="1" s="1"/>
  <c r="I152" i="1" s="1"/>
  <c r="E151" i="1"/>
  <c r="F151" i="1" s="1"/>
  <c r="G151" i="1" s="1"/>
  <c r="I151" i="1" s="1"/>
  <c r="E150" i="1"/>
  <c r="F150" i="1" s="1"/>
  <c r="G150" i="1" s="1"/>
  <c r="I150" i="1" s="1"/>
  <c r="E149" i="1"/>
  <c r="F149" i="1" s="1"/>
  <c r="G149" i="1" s="1"/>
  <c r="I149" i="1" s="1"/>
  <c r="E148" i="1"/>
  <c r="F148" i="1" s="1"/>
  <c r="G148" i="1" s="1"/>
  <c r="I148" i="1" s="1"/>
  <c r="E147" i="1"/>
  <c r="F147" i="1" s="1"/>
  <c r="G147" i="1" s="1"/>
  <c r="I147" i="1" s="1"/>
  <c r="E146" i="1"/>
  <c r="F146" i="1" s="1"/>
  <c r="G146" i="1" s="1"/>
  <c r="I146" i="1" s="1"/>
  <c r="E145" i="1"/>
  <c r="F145" i="1" s="1"/>
  <c r="G145" i="1" s="1"/>
  <c r="I145" i="1" s="1"/>
  <c r="E144" i="1"/>
  <c r="F144" i="1" s="1"/>
  <c r="G144" i="1" s="1"/>
  <c r="I144" i="1" s="1"/>
  <c r="E143" i="1"/>
  <c r="F143" i="1" s="1"/>
  <c r="G143" i="1" s="1"/>
  <c r="I143" i="1" s="1"/>
  <c r="E142" i="1"/>
  <c r="F142" i="1" s="1"/>
  <c r="G142" i="1" s="1"/>
  <c r="I142" i="1" s="1"/>
  <c r="E141" i="1"/>
  <c r="F141" i="1" s="1"/>
  <c r="G141" i="1" s="1"/>
  <c r="I141" i="1" s="1"/>
  <c r="E140" i="1"/>
  <c r="F140" i="1" s="1"/>
  <c r="G140" i="1" s="1"/>
  <c r="I140" i="1" s="1"/>
  <c r="E139" i="1"/>
  <c r="F139" i="1" s="1"/>
  <c r="G139" i="1" s="1"/>
  <c r="I139" i="1" s="1"/>
  <c r="E138" i="1"/>
  <c r="F138" i="1" s="1"/>
  <c r="G138" i="1" s="1"/>
  <c r="I138" i="1" s="1"/>
  <c r="E137" i="1"/>
  <c r="F137" i="1" s="1"/>
  <c r="G137" i="1" s="1"/>
  <c r="I137" i="1" s="1"/>
  <c r="E136" i="1"/>
  <c r="F136" i="1" s="1"/>
  <c r="G136" i="1" s="1"/>
  <c r="I136" i="1" s="1"/>
  <c r="E135" i="1"/>
  <c r="F135" i="1" s="1"/>
  <c r="G135" i="1" s="1"/>
  <c r="I135" i="1" s="1"/>
  <c r="E134" i="1"/>
  <c r="F134" i="1" s="1"/>
  <c r="G134" i="1" s="1"/>
  <c r="I134" i="1" s="1"/>
  <c r="E133" i="1"/>
  <c r="F133" i="1" s="1"/>
  <c r="G133" i="1" s="1"/>
  <c r="I133" i="1" s="1"/>
  <c r="E132" i="1"/>
  <c r="F132" i="1" s="1"/>
  <c r="G132" i="1" s="1"/>
  <c r="I132" i="1" s="1"/>
  <c r="E131" i="1"/>
  <c r="F131" i="1" s="1"/>
  <c r="G131" i="1" s="1"/>
  <c r="I131" i="1" s="1"/>
  <c r="E130" i="1"/>
  <c r="F130" i="1" s="1"/>
  <c r="G130" i="1" s="1"/>
  <c r="I130" i="1" s="1"/>
  <c r="E129" i="1"/>
  <c r="F129" i="1" s="1"/>
  <c r="G129" i="1" s="1"/>
  <c r="I129" i="1" s="1"/>
  <c r="E128" i="1"/>
  <c r="F128" i="1" s="1"/>
  <c r="G128" i="1" s="1"/>
  <c r="I128" i="1" s="1"/>
  <c r="E127" i="1"/>
  <c r="F127" i="1" s="1"/>
  <c r="G127" i="1" s="1"/>
  <c r="I127" i="1" s="1"/>
  <c r="E126" i="1"/>
  <c r="F126" i="1" s="1"/>
  <c r="G126" i="1" s="1"/>
  <c r="I126" i="1" s="1"/>
  <c r="E125" i="1"/>
  <c r="F125" i="1" s="1"/>
  <c r="G125" i="1" s="1"/>
  <c r="I125" i="1" s="1"/>
  <c r="E124" i="1"/>
  <c r="F124" i="1" s="1"/>
  <c r="G124" i="1" s="1"/>
  <c r="I124" i="1" s="1"/>
  <c r="E123" i="1"/>
  <c r="F123" i="1" s="1"/>
  <c r="G123" i="1" s="1"/>
  <c r="I123" i="1" s="1"/>
  <c r="E122" i="1"/>
  <c r="F122" i="1" s="1"/>
  <c r="G122" i="1" s="1"/>
  <c r="I122" i="1" s="1"/>
  <c r="E121" i="1"/>
  <c r="F121" i="1" s="1"/>
  <c r="G121" i="1" s="1"/>
  <c r="I121" i="1" s="1"/>
  <c r="E120" i="1"/>
  <c r="F120" i="1" s="1"/>
  <c r="G120" i="1" s="1"/>
  <c r="I120" i="1" s="1"/>
  <c r="E119" i="1"/>
  <c r="F119" i="1" s="1"/>
  <c r="G119" i="1" s="1"/>
  <c r="I119" i="1" s="1"/>
  <c r="E118" i="1"/>
  <c r="F118" i="1" s="1"/>
  <c r="G118" i="1" s="1"/>
  <c r="I118" i="1" s="1"/>
  <c r="E117" i="1"/>
  <c r="F117" i="1" s="1"/>
  <c r="G117" i="1" s="1"/>
  <c r="I117" i="1" s="1"/>
  <c r="E116" i="1"/>
  <c r="F116" i="1" s="1"/>
  <c r="G116" i="1" s="1"/>
  <c r="I116" i="1" s="1"/>
  <c r="E115" i="1"/>
  <c r="F115" i="1" s="1"/>
  <c r="G115" i="1" s="1"/>
  <c r="I115" i="1" s="1"/>
  <c r="E114" i="1"/>
  <c r="F114" i="1" s="1"/>
  <c r="G114" i="1" s="1"/>
  <c r="I114" i="1" s="1"/>
  <c r="E113" i="1"/>
  <c r="F113" i="1" s="1"/>
  <c r="G113" i="1" s="1"/>
  <c r="I113" i="1" s="1"/>
  <c r="E112" i="1"/>
  <c r="F112" i="1" s="1"/>
  <c r="G112" i="1" s="1"/>
  <c r="I112" i="1" s="1"/>
  <c r="E111" i="1"/>
  <c r="F111" i="1" s="1"/>
  <c r="G111" i="1" s="1"/>
  <c r="I111" i="1" s="1"/>
  <c r="E110" i="1"/>
  <c r="F110" i="1" s="1"/>
  <c r="G110" i="1" s="1"/>
  <c r="I110" i="1" s="1"/>
  <c r="E109" i="1"/>
  <c r="F109" i="1" s="1"/>
  <c r="G109" i="1" s="1"/>
  <c r="I109" i="1" s="1"/>
  <c r="E108" i="1"/>
  <c r="F108" i="1" s="1"/>
  <c r="G108" i="1" s="1"/>
  <c r="I108" i="1" s="1"/>
  <c r="E107" i="1"/>
  <c r="F107" i="1" s="1"/>
  <c r="G107" i="1" s="1"/>
  <c r="I107" i="1" s="1"/>
  <c r="E106" i="1"/>
  <c r="F106" i="1" s="1"/>
  <c r="G106" i="1" s="1"/>
  <c r="I106" i="1" s="1"/>
  <c r="E105" i="1"/>
  <c r="F105" i="1" s="1"/>
  <c r="G105" i="1" s="1"/>
  <c r="I105" i="1" s="1"/>
  <c r="E104" i="1"/>
  <c r="F104" i="1" s="1"/>
  <c r="G104" i="1" s="1"/>
  <c r="I104" i="1" s="1"/>
  <c r="E103" i="1"/>
  <c r="F103" i="1" s="1"/>
  <c r="G103" i="1" s="1"/>
  <c r="I103" i="1" s="1"/>
  <c r="E102" i="1"/>
  <c r="F102" i="1" s="1"/>
  <c r="G102" i="1" s="1"/>
  <c r="I102" i="1" s="1"/>
  <c r="E101" i="1"/>
  <c r="F101" i="1" s="1"/>
  <c r="G101" i="1" s="1"/>
  <c r="I101" i="1" s="1"/>
  <c r="E100" i="1"/>
  <c r="F100" i="1" s="1"/>
  <c r="G100" i="1" s="1"/>
  <c r="I100" i="1" s="1"/>
  <c r="E99" i="1"/>
  <c r="F99" i="1" s="1"/>
  <c r="G99" i="1" s="1"/>
  <c r="I99" i="1" s="1"/>
  <c r="E98" i="1"/>
  <c r="F98" i="1" s="1"/>
  <c r="G98" i="1" s="1"/>
  <c r="I98" i="1" s="1"/>
  <c r="E97" i="1"/>
  <c r="F97" i="1" s="1"/>
  <c r="G97" i="1" s="1"/>
  <c r="I97" i="1" s="1"/>
  <c r="E96" i="1"/>
  <c r="F96" i="1" s="1"/>
  <c r="G96" i="1" s="1"/>
  <c r="I96" i="1" s="1"/>
  <c r="E95" i="1"/>
  <c r="F95" i="1" s="1"/>
  <c r="G95" i="1" s="1"/>
  <c r="I95" i="1" s="1"/>
  <c r="E94" i="1"/>
  <c r="F94" i="1" s="1"/>
  <c r="G94" i="1" s="1"/>
  <c r="I94" i="1" s="1"/>
  <c r="E93" i="1"/>
  <c r="F93" i="1" s="1"/>
  <c r="G93" i="1" s="1"/>
  <c r="I93" i="1" s="1"/>
  <c r="E92" i="1"/>
  <c r="F92" i="1" s="1"/>
  <c r="G92" i="1" s="1"/>
  <c r="I92" i="1" s="1"/>
  <c r="E91" i="1"/>
  <c r="F91" i="1" s="1"/>
  <c r="G91" i="1" s="1"/>
  <c r="I91" i="1" s="1"/>
  <c r="E90" i="1"/>
  <c r="F90" i="1" s="1"/>
  <c r="G90" i="1" s="1"/>
  <c r="I90" i="1" s="1"/>
  <c r="E89" i="1"/>
  <c r="F89" i="1" s="1"/>
  <c r="G89" i="1" s="1"/>
  <c r="I89" i="1" s="1"/>
  <c r="E88" i="1"/>
  <c r="F88" i="1" s="1"/>
  <c r="G88" i="1" s="1"/>
  <c r="I88" i="1" s="1"/>
  <c r="E87" i="1"/>
  <c r="F87" i="1" s="1"/>
  <c r="G87" i="1" s="1"/>
  <c r="I87" i="1" s="1"/>
  <c r="E86" i="1"/>
  <c r="F86" i="1" s="1"/>
  <c r="G86" i="1" s="1"/>
  <c r="I86" i="1" s="1"/>
  <c r="E85" i="1"/>
  <c r="F85" i="1" s="1"/>
  <c r="G85" i="1" s="1"/>
  <c r="I85" i="1" s="1"/>
  <c r="E84" i="1"/>
  <c r="F84" i="1" s="1"/>
  <c r="G84" i="1" s="1"/>
  <c r="I84" i="1" s="1"/>
  <c r="E83" i="1"/>
  <c r="F83" i="1" s="1"/>
  <c r="G83" i="1" s="1"/>
  <c r="I83" i="1" s="1"/>
  <c r="E82" i="1"/>
  <c r="F82" i="1" s="1"/>
  <c r="G82" i="1" s="1"/>
  <c r="I82" i="1" s="1"/>
  <c r="E81" i="1"/>
  <c r="F81" i="1" s="1"/>
  <c r="G81" i="1" s="1"/>
  <c r="I81" i="1" s="1"/>
  <c r="E80" i="1"/>
  <c r="F80" i="1" s="1"/>
  <c r="G80" i="1" s="1"/>
  <c r="I80" i="1" s="1"/>
  <c r="E79" i="1"/>
  <c r="F79" i="1" s="1"/>
  <c r="G79" i="1" s="1"/>
  <c r="I79" i="1" s="1"/>
  <c r="E78" i="1"/>
  <c r="F78" i="1" s="1"/>
  <c r="G78" i="1" s="1"/>
  <c r="I78" i="1" s="1"/>
  <c r="E77" i="1"/>
  <c r="F77" i="1" s="1"/>
  <c r="G77" i="1" s="1"/>
  <c r="I77" i="1" s="1"/>
  <c r="E76" i="1"/>
  <c r="F76" i="1" s="1"/>
  <c r="G76" i="1" s="1"/>
  <c r="I76" i="1" s="1"/>
  <c r="E75" i="1"/>
  <c r="F75" i="1" s="1"/>
  <c r="G75" i="1" s="1"/>
  <c r="I75" i="1" s="1"/>
  <c r="E74" i="1"/>
  <c r="F74" i="1" s="1"/>
  <c r="G74" i="1" s="1"/>
  <c r="I74" i="1" s="1"/>
  <c r="E73" i="1"/>
  <c r="F73" i="1" s="1"/>
  <c r="G73" i="1" s="1"/>
  <c r="I73" i="1" s="1"/>
  <c r="E72" i="1"/>
  <c r="F72" i="1" s="1"/>
  <c r="G72" i="1" s="1"/>
  <c r="I72" i="1" s="1"/>
  <c r="E71" i="1"/>
  <c r="F71" i="1" s="1"/>
  <c r="G71" i="1" s="1"/>
  <c r="I71" i="1" s="1"/>
  <c r="E70" i="1"/>
  <c r="F70" i="1" s="1"/>
  <c r="G70" i="1" s="1"/>
  <c r="I70" i="1" s="1"/>
  <c r="E69" i="1"/>
  <c r="F69" i="1" s="1"/>
  <c r="G69" i="1" s="1"/>
  <c r="I69" i="1" s="1"/>
  <c r="E68" i="1"/>
  <c r="F68" i="1" s="1"/>
  <c r="G68" i="1" s="1"/>
  <c r="I68" i="1" s="1"/>
  <c r="E67" i="1"/>
  <c r="F67" i="1" s="1"/>
  <c r="G67" i="1" s="1"/>
  <c r="I67" i="1" s="1"/>
  <c r="E66" i="1"/>
  <c r="F66" i="1" s="1"/>
  <c r="G66" i="1" s="1"/>
  <c r="I66" i="1" s="1"/>
  <c r="E65" i="1"/>
  <c r="F65" i="1" s="1"/>
  <c r="G65" i="1" s="1"/>
  <c r="I65" i="1" s="1"/>
  <c r="E64" i="1"/>
  <c r="F64" i="1" s="1"/>
  <c r="G64" i="1" s="1"/>
  <c r="I64" i="1" s="1"/>
  <c r="E63" i="1"/>
  <c r="F63" i="1" s="1"/>
  <c r="G63" i="1" s="1"/>
  <c r="I63" i="1" s="1"/>
  <c r="E62" i="1"/>
  <c r="F62" i="1" s="1"/>
  <c r="G62" i="1" s="1"/>
  <c r="I62" i="1" s="1"/>
  <c r="E61" i="1"/>
  <c r="F61" i="1" s="1"/>
  <c r="G61" i="1" s="1"/>
  <c r="I61" i="1" s="1"/>
  <c r="E60" i="1"/>
  <c r="F60" i="1" s="1"/>
  <c r="G60" i="1" s="1"/>
  <c r="I60" i="1" s="1"/>
  <c r="E59" i="1"/>
  <c r="F59" i="1" s="1"/>
  <c r="G59" i="1" s="1"/>
  <c r="I59" i="1" s="1"/>
  <c r="E58" i="1"/>
  <c r="F58" i="1" s="1"/>
  <c r="G58" i="1" s="1"/>
  <c r="I58" i="1" s="1"/>
  <c r="E57" i="1"/>
  <c r="F57" i="1" s="1"/>
  <c r="G57" i="1" s="1"/>
  <c r="I57" i="1" s="1"/>
  <c r="E56" i="1"/>
  <c r="F56" i="1" s="1"/>
  <c r="G56" i="1" s="1"/>
  <c r="I56" i="1" s="1"/>
  <c r="E55" i="1"/>
  <c r="F55" i="1" s="1"/>
  <c r="G55" i="1" s="1"/>
  <c r="I55" i="1" s="1"/>
  <c r="E54" i="1"/>
  <c r="F54" i="1" s="1"/>
  <c r="G54" i="1" s="1"/>
  <c r="I54" i="1" s="1"/>
  <c r="E53" i="1"/>
  <c r="F53" i="1" s="1"/>
  <c r="G53" i="1" s="1"/>
  <c r="I53" i="1" s="1"/>
  <c r="E52" i="1"/>
  <c r="F52" i="1" s="1"/>
  <c r="G52" i="1" s="1"/>
  <c r="I52" i="1" s="1"/>
  <c r="E51" i="1"/>
  <c r="F51" i="1" s="1"/>
  <c r="G51" i="1" s="1"/>
  <c r="I51" i="1" s="1"/>
  <c r="E50" i="1"/>
  <c r="F50" i="1" s="1"/>
  <c r="G50" i="1" s="1"/>
  <c r="I50" i="1" s="1"/>
  <c r="E49" i="1"/>
  <c r="F49" i="1" s="1"/>
  <c r="G49" i="1" s="1"/>
  <c r="I49" i="1" s="1"/>
  <c r="E48" i="1"/>
  <c r="F48" i="1" s="1"/>
  <c r="G48" i="1" s="1"/>
  <c r="I48" i="1" s="1"/>
  <c r="E47" i="1"/>
  <c r="F47" i="1" s="1"/>
  <c r="G47" i="1" s="1"/>
  <c r="I47" i="1" s="1"/>
  <c r="E46" i="1"/>
  <c r="F46" i="1" s="1"/>
  <c r="G46" i="1" s="1"/>
  <c r="I46" i="1" s="1"/>
  <c r="E45" i="1"/>
  <c r="F45" i="1" s="1"/>
  <c r="G45" i="1" s="1"/>
  <c r="I45" i="1" s="1"/>
  <c r="E44" i="1"/>
  <c r="F44" i="1" s="1"/>
  <c r="G44" i="1" s="1"/>
  <c r="I44" i="1" s="1"/>
  <c r="E43" i="1"/>
  <c r="F43" i="1" s="1"/>
  <c r="G43" i="1" s="1"/>
  <c r="I43" i="1" s="1"/>
  <c r="E42" i="1"/>
  <c r="F42" i="1" s="1"/>
  <c r="G42" i="1" s="1"/>
  <c r="I42" i="1" s="1"/>
  <c r="E41" i="1"/>
  <c r="F41" i="1" s="1"/>
  <c r="G41" i="1" s="1"/>
  <c r="I41" i="1" s="1"/>
  <c r="E40" i="1"/>
  <c r="F40" i="1" s="1"/>
  <c r="G40" i="1" s="1"/>
  <c r="I40" i="1" s="1"/>
  <c r="E39" i="1"/>
  <c r="F39" i="1" s="1"/>
  <c r="G39" i="1" s="1"/>
  <c r="I39" i="1" s="1"/>
  <c r="E38" i="1"/>
  <c r="F38" i="1" s="1"/>
  <c r="G38" i="1" s="1"/>
  <c r="I38" i="1" s="1"/>
  <c r="E37" i="1"/>
  <c r="F37" i="1" s="1"/>
  <c r="G37" i="1" s="1"/>
  <c r="I37" i="1" s="1"/>
  <c r="E36" i="1"/>
  <c r="F36" i="1" s="1"/>
  <c r="G36" i="1" s="1"/>
  <c r="I36" i="1" s="1"/>
  <c r="E35" i="1"/>
  <c r="F35" i="1" s="1"/>
  <c r="G35" i="1" s="1"/>
  <c r="I35" i="1" s="1"/>
  <c r="E34" i="1"/>
  <c r="F34" i="1" s="1"/>
  <c r="G34" i="1" s="1"/>
  <c r="I34" i="1" s="1"/>
  <c r="E33" i="1"/>
  <c r="F33" i="1" s="1"/>
  <c r="G33" i="1" s="1"/>
  <c r="I33" i="1" s="1"/>
  <c r="E32" i="1"/>
  <c r="F32" i="1" s="1"/>
  <c r="G32" i="1" s="1"/>
  <c r="I32" i="1" s="1"/>
  <c r="E31" i="1"/>
  <c r="F31" i="1" s="1"/>
  <c r="G31" i="1" s="1"/>
  <c r="I31" i="1" s="1"/>
  <c r="E30" i="1"/>
  <c r="F30" i="1" s="1"/>
  <c r="G30" i="1" s="1"/>
  <c r="I30" i="1" s="1"/>
  <c r="E29" i="1"/>
  <c r="F29" i="1" s="1"/>
  <c r="G29" i="1" s="1"/>
  <c r="I29" i="1" s="1"/>
  <c r="E28" i="1"/>
  <c r="F28" i="1" s="1"/>
  <c r="G28" i="1" s="1"/>
  <c r="I28" i="1" s="1"/>
  <c r="E27" i="1"/>
  <c r="F27" i="1" s="1"/>
  <c r="G27" i="1" s="1"/>
  <c r="I27" i="1" s="1"/>
  <c r="E26" i="1"/>
  <c r="F26" i="1" s="1"/>
  <c r="G26" i="1" s="1"/>
  <c r="I26" i="1" s="1"/>
  <c r="E25" i="1"/>
  <c r="F25" i="1" s="1"/>
  <c r="G25" i="1" s="1"/>
  <c r="I25" i="1" s="1"/>
  <c r="E24" i="1"/>
  <c r="F24" i="1" s="1"/>
  <c r="G24" i="1" s="1"/>
  <c r="I24" i="1" s="1"/>
  <c r="E23" i="1"/>
  <c r="F23" i="1" s="1"/>
  <c r="G23" i="1" s="1"/>
  <c r="I23" i="1" s="1"/>
  <c r="E22" i="1"/>
  <c r="F22" i="1" s="1"/>
  <c r="G22" i="1" s="1"/>
  <c r="I22" i="1" s="1"/>
  <c r="E21" i="1"/>
  <c r="F21" i="1" s="1"/>
  <c r="G21" i="1" s="1"/>
  <c r="I21" i="1" s="1"/>
  <c r="E20" i="1"/>
  <c r="F20" i="1" s="1"/>
  <c r="G20" i="1" s="1"/>
  <c r="I20" i="1" s="1"/>
  <c r="E19" i="1"/>
  <c r="F19" i="1" s="1"/>
  <c r="G19" i="1" s="1"/>
  <c r="I19" i="1" s="1"/>
  <c r="E18" i="1"/>
  <c r="F18" i="1" s="1"/>
  <c r="G18" i="1" s="1"/>
  <c r="I18" i="1" s="1"/>
  <c r="E17" i="1"/>
  <c r="F17" i="1" s="1"/>
  <c r="G17" i="1" s="1"/>
  <c r="I17" i="1" s="1"/>
  <c r="E16" i="1"/>
  <c r="F16" i="1" s="1"/>
  <c r="G16" i="1" s="1"/>
  <c r="I16" i="1" s="1"/>
  <c r="E15" i="1"/>
  <c r="F15" i="1" s="1"/>
  <c r="G15" i="1" s="1"/>
  <c r="I15" i="1" s="1"/>
  <c r="E14" i="1"/>
  <c r="F14" i="1" s="1"/>
  <c r="G14" i="1" s="1"/>
  <c r="I14" i="1" s="1"/>
  <c r="E13" i="1"/>
  <c r="F13" i="1" s="1"/>
  <c r="G13" i="1" s="1"/>
  <c r="I13" i="1" s="1"/>
  <c r="E12" i="1"/>
  <c r="F12" i="1" s="1"/>
  <c r="G12" i="1" s="1"/>
  <c r="I12" i="1" s="1"/>
  <c r="E11" i="1"/>
  <c r="F11" i="1" s="1"/>
  <c r="G11" i="1" s="1"/>
  <c r="I11" i="1" s="1"/>
  <c r="E10" i="1"/>
  <c r="F10" i="1" s="1"/>
  <c r="G10" i="1" s="1"/>
  <c r="I10" i="1" s="1"/>
  <c r="E9" i="1"/>
  <c r="F9" i="1" s="1"/>
  <c r="G9" i="1" s="1"/>
  <c r="I9" i="1" s="1"/>
  <c r="E8" i="1"/>
  <c r="F8" i="1" s="1"/>
  <c r="G8" i="1" s="1"/>
  <c r="I8" i="1" s="1"/>
  <c r="E7" i="1"/>
  <c r="F7" i="1" s="1"/>
  <c r="G7" i="1" s="1"/>
  <c r="I7" i="1" s="1"/>
  <c r="E6" i="1"/>
  <c r="F6" i="1" s="1"/>
  <c r="G6" i="1" s="1"/>
  <c r="I6" i="1" s="1"/>
  <c r="E5" i="1"/>
  <c r="F5" i="1" s="1"/>
  <c r="G5" i="1" s="1"/>
  <c r="I5" i="1" s="1"/>
  <c r="E4" i="1"/>
  <c r="F4" i="1" s="1"/>
  <c r="G4" i="1" s="1"/>
  <c r="I4" i="1" s="1"/>
  <c r="E3" i="1"/>
  <c r="F3" i="1" s="1"/>
  <c r="G3" i="1" s="1"/>
  <c r="I3" i="1" s="1"/>
  <c r="F2" i="1"/>
  <c r="G2" i="1" s="1"/>
  <c r="I2" i="1" s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0" i="1"/>
  <c r="C9" i="1"/>
  <c r="C8" i="1"/>
  <c r="C4" i="1"/>
  <c r="C3" i="1"/>
  <c r="C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B4" i="1"/>
  <c r="B5" i="1"/>
  <c r="B6" i="1"/>
  <c r="B7" i="1"/>
  <c r="B8" i="1"/>
  <c r="B9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J201" i="1" l="1"/>
  <c r="J15" i="1"/>
  <c r="J29" i="1"/>
  <c r="J7" i="1"/>
  <c r="J53" i="1"/>
  <c r="J3" i="1"/>
  <c r="J57" i="1"/>
  <c r="J117" i="1"/>
  <c r="J141" i="1"/>
  <c r="J165" i="1"/>
  <c r="J10" i="1"/>
  <c r="J46" i="1"/>
  <c r="J70" i="1"/>
  <c r="J94" i="1"/>
  <c r="J118" i="1"/>
  <c r="J142" i="1"/>
  <c r="J154" i="1"/>
  <c r="J166" i="1"/>
  <c r="J190" i="1"/>
  <c r="J33" i="1"/>
  <c r="J93" i="1"/>
  <c r="J129" i="1"/>
  <c r="J153" i="1"/>
  <c r="J22" i="1"/>
  <c r="J34" i="1"/>
  <c r="J58" i="1"/>
  <c r="J82" i="1"/>
  <c r="J106" i="1"/>
  <c r="J130" i="1"/>
  <c r="J178" i="1"/>
  <c r="J189" i="1"/>
  <c r="J45" i="1"/>
  <c r="J105" i="1"/>
  <c r="J177" i="1"/>
  <c r="J69" i="1"/>
  <c r="J81" i="1"/>
  <c r="J9" i="1"/>
  <c r="J17" i="1"/>
  <c r="J27" i="1"/>
  <c r="J39" i="1"/>
  <c r="J51" i="1"/>
  <c r="J63" i="1"/>
  <c r="J75" i="1"/>
  <c r="J87" i="1"/>
  <c r="J99" i="1"/>
  <c r="J111" i="1"/>
  <c r="J123" i="1"/>
  <c r="J135" i="1"/>
  <c r="J147" i="1"/>
  <c r="J159" i="1"/>
  <c r="J5" i="1"/>
  <c r="J8" i="1"/>
  <c r="J16" i="1"/>
  <c r="J28" i="1"/>
  <c r="J40" i="1"/>
  <c r="J52" i="1"/>
  <c r="J64" i="1"/>
  <c r="J76" i="1"/>
  <c r="J88" i="1"/>
  <c r="J100" i="1"/>
  <c r="J112" i="1"/>
  <c r="J124" i="1"/>
  <c r="J136" i="1"/>
  <c r="J148" i="1"/>
  <c r="J160" i="1"/>
  <c r="J172" i="1"/>
  <c r="J184" i="1"/>
  <c r="J196" i="1"/>
  <c r="J21" i="1"/>
  <c r="J19" i="1"/>
  <c r="J77" i="1"/>
  <c r="J101" i="1"/>
  <c r="J125" i="1"/>
  <c r="J149" i="1"/>
  <c r="J173" i="1"/>
  <c r="J41" i="1"/>
  <c r="J65" i="1"/>
  <c r="J89" i="1"/>
  <c r="J113" i="1"/>
  <c r="J137" i="1"/>
  <c r="J161" i="1"/>
  <c r="J31" i="1"/>
  <c r="J55" i="1"/>
  <c r="J79" i="1"/>
  <c r="J103" i="1"/>
  <c r="J127" i="1"/>
  <c r="J151" i="1"/>
  <c r="J175" i="1"/>
  <c r="J199" i="1"/>
  <c r="J23" i="1"/>
  <c r="J47" i="1"/>
  <c r="J71" i="1"/>
  <c r="J95" i="1"/>
  <c r="J119" i="1"/>
  <c r="J143" i="1"/>
  <c r="J167" i="1"/>
  <c r="J191" i="1"/>
  <c r="J13" i="1"/>
  <c r="J43" i="1"/>
  <c r="J67" i="1"/>
  <c r="J91" i="1"/>
  <c r="J115" i="1"/>
  <c r="J139" i="1"/>
  <c r="J163" i="1"/>
  <c r="J187" i="1"/>
  <c r="J11" i="1"/>
  <c r="J35" i="1"/>
  <c r="J59" i="1"/>
  <c r="J83" i="1"/>
  <c r="J107" i="1"/>
  <c r="J131" i="1"/>
  <c r="J155" i="1"/>
  <c r="J179" i="1"/>
  <c r="J20" i="1"/>
  <c r="J36" i="1"/>
  <c r="J60" i="1"/>
  <c r="J96" i="1"/>
  <c r="J120" i="1"/>
  <c r="J144" i="1"/>
  <c r="J168" i="1"/>
  <c r="J192" i="1"/>
  <c r="J2" i="1"/>
  <c r="J18" i="1"/>
  <c r="J26" i="1"/>
  <c r="J38" i="1"/>
  <c r="J50" i="1"/>
  <c r="J62" i="1"/>
  <c r="J74" i="1"/>
  <c r="J86" i="1"/>
  <c r="J98" i="1"/>
  <c r="J110" i="1"/>
  <c r="J122" i="1"/>
  <c r="J134" i="1"/>
  <c r="J146" i="1"/>
  <c r="J158" i="1"/>
  <c r="J170" i="1"/>
  <c r="J182" i="1"/>
  <c r="J194" i="1"/>
  <c r="J171" i="1"/>
  <c r="J183" i="1"/>
  <c r="J195" i="1"/>
  <c r="J185" i="1"/>
  <c r="J197" i="1"/>
  <c r="J6" i="1"/>
  <c r="J14" i="1"/>
  <c r="J30" i="1"/>
  <c r="J42" i="1"/>
  <c r="J54" i="1"/>
  <c r="J66" i="1"/>
  <c r="J78" i="1"/>
  <c r="J90" i="1"/>
  <c r="J102" i="1"/>
  <c r="J114" i="1"/>
  <c r="J126" i="1"/>
  <c r="J138" i="1"/>
  <c r="J150" i="1"/>
  <c r="J162" i="1"/>
  <c r="J174" i="1"/>
  <c r="J186" i="1"/>
  <c r="J198" i="1"/>
  <c r="J4" i="1"/>
  <c r="J12" i="1"/>
  <c r="J32" i="1"/>
  <c r="J44" i="1"/>
  <c r="J56" i="1"/>
  <c r="J68" i="1"/>
  <c r="J80" i="1"/>
  <c r="J92" i="1"/>
  <c r="J104" i="1"/>
  <c r="J116" i="1"/>
  <c r="J128" i="1"/>
  <c r="J140" i="1"/>
  <c r="J152" i="1"/>
  <c r="J164" i="1"/>
  <c r="J176" i="1"/>
  <c r="J188" i="1"/>
  <c r="J200" i="1"/>
  <c r="J84" i="1"/>
  <c r="J24" i="1"/>
  <c r="J48" i="1"/>
  <c r="J72" i="1"/>
  <c r="J108" i="1"/>
  <c r="J132" i="1"/>
  <c r="J156" i="1"/>
  <c r="J180" i="1"/>
  <c r="J25" i="1"/>
  <c r="J37" i="1"/>
  <c r="J49" i="1"/>
  <c r="J61" i="1"/>
  <c r="J73" i="1"/>
  <c r="J85" i="1"/>
  <c r="J97" i="1"/>
  <c r="J109" i="1"/>
  <c r="J121" i="1"/>
  <c r="J133" i="1"/>
  <c r="J145" i="1"/>
  <c r="J157" i="1"/>
  <c r="J169" i="1"/>
  <c r="J181" i="1"/>
  <c r="J1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<sst xmlns="http://schemas.openxmlformats.org/spreadsheetml/2006/main" count="507" uniqueCount="261">
  <si>
    <t>shipment_id</t>
  </si>
  <si>
    <t>origin_city_id</t>
  </si>
  <si>
    <t>destination_city_id</t>
  </si>
  <si>
    <t>carrier_id</t>
  </si>
  <si>
    <t>ship_date</t>
  </si>
  <si>
    <t>expected_delivery_date</t>
  </si>
  <si>
    <t>actual_delivery_date</t>
  </si>
  <si>
    <t>delay_code</t>
  </si>
  <si>
    <t>status</t>
  </si>
  <si>
    <t>SQL Insert Value</t>
  </si>
  <si>
    <t>On Time</t>
  </si>
  <si>
    <t>DR03</t>
  </si>
  <si>
    <t>Delayed</t>
  </si>
  <si>
    <t>DR02</t>
  </si>
  <si>
    <t>DR05</t>
  </si>
  <si>
    <t>DR01</t>
  </si>
  <si>
    <t>DR04</t>
  </si>
  <si>
    <t>In Transit</t>
  </si>
  <si>
    <t>(9, 1, 1, '2025-07-25', '2025-07-28', '2025-07-26', NULL, 'On Time'),</t>
  </si>
  <si>
    <t>(10, 8, 1, '2025-12-09', '2025-12-14', '2025-12-12', NULL, 'On Time'),</t>
  </si>
  <si>
    <t>(3, 2, 1, '2025-09-19', '2025-09-22', '2025-09-22', NULL, 'On Time'),</t>
  </si>
  <si>
    <t>(10, 6, 1, '2025-07-15', '2025-07-20', '2025-07-20', NULL, 'On Time'),</t>
  </si>
  <si>
    <t>(7, 8, 2, '2025-09-29', '2025-10-03', '2025-10-01', NULL, 'On Time'),</t>
  </si>
  <si>
    <t>(9, 4, 3, '2025-07-15', '2025-07-19', '2025-07-16', NULL, 'On Time'),</t>
  </si>
  <si>
    <t>(9, 5, 5, '2025-07-11', '2025-07-14', '2025-07-13', NULL, 'On Time'),</t>
  </si>
  <si>
    <t>(6, 2, 2, '2025-09-12', '2025-09-16', '2025-09-16', NULL, 'On Time'),</t>
  </si>
  <si>
    <t>(6, 9, 1, '2025-07-11', '2025-07-14', '2025-07-12', NULL, 'On Time'),</t>
  </si>
  <si>
    <t>(7, 8, 5, '2025-08-12', '2025-08-17', '2025-08-17', NULL, 'On Time'),</t>
  </si>
  <si>
    <t>(5, 7, 2, '2025-08-03', '2025-08-08', '2025-08-06', NULL, 'On Time'),</t>
  </si>
  <si>
    <t>(6, 10, 3, '2025-12-26', '2025-12-31', '2025-12-30', NULL, 'On Time'),</t>
  </si>
  <si>
    <t>(8, 1, 3, '2025-09-22', '2025-09-25', '2025-09-22', NULL, 'On Time'),</t>
  </si>
  <si>
    <t>(2, 9, 5, '2025-09-09', '2025-09-13', '2025-09-13', NULL, 'On Time'),</t>
  </si>
  <si>
    <t>(6, 2, 4, '2025-10-05', '2025-10-09', '2025-10-09', NULL, 'On Time'),</t>
  </si>
  <si>
    <t>(5, 5, 4, '2025-12-09', '2025-12-13', '2025-12-11', NULL, 'On Time'),</t>
  </si>
  <si>
    <t>(5, 10, 3, '2025-11-08', '2025-11-13', '2025-11-10', NULL, 'On Time'),</t>
  </si>
  <si>
    <t>(8, 1, 1, '2025-09-14', '2025-09-19', '2025-09-16', NULL, 'On Time'),</t>
  </si>
  <si>
    <t>(3, 4, 5, '2025-11-17', '2025-11-22', '2025-11-22', NULL, 'On Time'),</t>
  </si>
  <si>
    <t>(5, 3, 4, '2025-10-09', '2025-10-14', '2025-10-11', NULL, 'On Time'),</t>
  </si>
  <si>
    <t>(9, 3, 4, '2025-09-26', '2025-10-01', '2025-09-29', NULL, 'On Time'),</t>
  </si>
  <si>
    <t>(9, 7, 3, '2025-12-25', '2025-12-29', '2025-12-26', NULL, 'On Time'),</t>
  </si>
  <si>
    <t>(9, 1, 3, '2025-08-01', '2025-08-05', '2025-08-05', NULL, 'On Time'),</t>
  </si>
  <si>
    <t>(9, 1, 4, '2025-12-19', '2025-12-24', '2025-12-24', NULL, 'On Time'),</t>
  </si>
  <si>
    <t>(6, 3, 2, '2025-08-11', '2025-08-16', '2025-08-15', NULL, 'On Time'),</t>
  </si>
  <si>
    <t>(6, 8, 1, '2025-11-14', '2025-11-19', '2025-11-18', NULL, 'On Time'),</t>
  </si>
  <si>
    <t>(8, 3, 3, '2025-11-20', '2025-11-25', '2025-11-22', NULL, 'On Time'),</t>
  </si>
  <si>
    <t>(1, 10, 1, '2025-10-13', '2025-10-16', '2025-10-13', NULL, 'On Time'),</t>
  </si>
  <si>
    <t>(2, 9, 3, '2025-08-05', '2025-08-08', '2025-08-08', NULL, 'On Time'),</t>
  </si>
  <si>
    <t>(8, 5, 1, '2025-08-01', '2025-08-05', '2025-08-03', NULL, 'On Time'),</t>
  </si>
  <si>
    <t>(2, 6, 1, '2025-11-23', '2025-11-28', '2025-11-27', NULL, 'On Time'),</t>
  </si>
  <si>
    <t>(1, 10, 4, '2025-11-25', '2025-11-28', '2025-11-26', NULL, 'On Time'),</t>
  </si>
  <si>
    <t>(5, 4, 2, '2025-09-12', '2025-09-15', '2025-09-12', NULL, 'On Time'),</t>
  </si>
  <si>
    <t>(5, 2, 3, '2025-10-05', '2025-10-10', '2025-10-09', NULL, 'On Time'),</t>
  </si>
  <si>
    <t>(1, 4, 5, '2025-09-14', '2025-09-19', '2025-09-16', NULL, 'On Time'),</t>
  </si>
  <si>
    <t>(10, 3, 5, '2025-07-02', '2025-07-06', '2025-07-03', NULL, 'On Time'),</t>
  </si>
  <si>
    <t>(3, 8, 5, '2025-11-10', '2025-11-15', '2025-11-12', NULL, 'On Time'),</t>
  </si>
  <si>
    <t>(9, 9, 4, '2025-08-21', '2025-08-24', '2025-08-24', NULL, 'On Time'),</t>
  </si>
  <si>
    <t>(1, 10, 1, '2025-11-25', '2025-11-29', '2025-11-26', NULL, 'On Time'),</t>
  </si>
  <si>
    <t>(8, 6, 1, '2025-09-27', '2025-10-02', '2025-09-29', NULL, 'On Time'),</t>
  </si>
  <si>
    <t>(9, 6, 1, '2025-12-05', '2025-12-10', '2025-12-08', NULL, 'On Time'),</t>
  </si>
  <si>
    <t>(2, 2, 1, '2025-12-29', '2026-01-01', '2025-12-29', NULL, 'On Time'),</t>
  </si>
  <si>
    <t>(1, 4, 1, '2025-11-26', '2025-11-30', '2025-11-30', NULL, 'On Time'),</t>
  </si>
  <si>
    <t>(8, 6, 2, '2025-07-05', '2025-07-08', '2025-07-06', NULL, 'On Time'),</t>
  </si>
  <si>
    <t>(1, 8, 5, '2025-07-06', '2025-07-09', '2025-07-06', NULL, 'On Time'),</t>
  </si>
  <si>
    <t>(4, 8, 5, '2025-11-22', '2025-11-25', '2025-11-24', NULL, 'On Time'),</t>
  </si>
  <si>
    <t>(9, 2, 5, '2025-11-29', '2025-12-03', '2025-12-03', NULL, 'On Time'),</t>
  </si>
  <si>
    <t>(2, 2, 2, '2025-10-10', '2025-10-13', '2025-10-11', NULL, 'On Time'),</t>
  </si>
  <si>
    <t>(7, 2, 1, '2025-09-14', '2025-09-17', '2025-09-14', NULL, 'On Time'),</t>
  </si>
  <si>
    <t>(10, 3, 3, '2025-09-18', '2025-09-22', '2025-09-22', NULL, 'On Time'),</t>
  </si>
  <si>
    <t>(3, 4, 5, '2025-09-27', '2025-10-02', '2025-10-01', NULL, 'On Time'),</t>
  </si>
  <si>
    <t>(4, 9, 4, '2025-07-09', '2025-07-13', '2025-07-11', NULL, 'On Time'),</t>
  </si>
  <si>
    <t>(2, 8, 2, '2025-08-08', '2025-08-12', '2025-08-10', NULL, 'On Time'),</t>
  </si>
  <si>
    <t>(2, 1, 3, '2025-09-24', '2025-09-27', '2025-09-25', NULL, 'On Time'),</t>
  </si>
  <si>
    <t>(6, 1, 2, '2025-12-04', '2025-12-09', '2025-12-08', NULL, 'On Time'),</t>
  </si>
  <si>
    <t>(6, 2, 5, '2025-08-24', '2025-08-28', '2025-08-25', NULL, 'On Time'),</t>
  </si>
  <si>
    <t>(7, 4, 5, '2025-07-29', '2025-08-03', '2025-07-31', NULL, 'On Time'),</t>
  </si>
  <si>
    <t>(1, 6, 3, '2025-10-14', '2025-10-18', '2025-10-15', NULL, 'On Time'),</t>
  </si>
  <si>
    <t>(9, 3, 4, '2025-09-06', '2025-09-09', '2025-09-09', NULL, 'On Time'),</t>
  </si>
  <si>
    <t>(4, 3, 3, '2025-07-29', '2025-08-03', '2025-08-03', NULL, 'On Time'),</t>
  </si>
  <si>
    <t>(8, 7, 2, '2025-08-01', '2025-08-04', '2025-08-04', NULL, 'On Time'),</t>
  </si>
  <si>
    <t>(6, 1, 5, '2025-07-30', '2025-08-04', '2025-08-02', NULL, 'On Time'),</t>
  </si>
  <si>
    <t>(1, 4, 5, '2025-08-17', '2025-08-20', '2025-08-20', NULL, 'On Time'),</t>
  </si>
  <si>
    <t>(3, 8, 5, '2025-08-05', '2025-08-10', '2025-08-07', NULL, 'On Time'),</t>
  </si>
  <si>
    <t>(9, 10, 5, '2025-12-17', '2025-12-21', '2025-12-21', NULL, 'On Time'),</t>
  </si>
  <si>
    <t>(7, 2, 2, '2025-11-28', '2025-12-03', '2025-12-03', NULL, 'On Time'),</t>
  </si>
  <si>
    <t>(1, 8, 4, '2025-09-27', '2025-10-02', '2025-10-01', NULL, 'On Time'),</t>
  </si>
  <si>
    <t>(9, 6, 3, '2025-07-13', '2025-07-16', '2025-07-15', NULL, 'On Time'),</t>
  </si>
  <si>
    <t>(1, 5, 4, '2025-09-17', '2025-09-22', '2025-09-20', NULL, 'On Time'),</t>
  </si>
  <si>
    <t>(9, 4, 3, '2025-11-01', '2025-11-06', '2025-11-04', NULL, 'On Time'),</t>
  </si>
  <si>
    <t>(2, 1, 3, '2025-07-02', '2025-07-07', '2025-07-07', NULL, 'On Time'),</t>
  </si>
  <si>
    <t>(4, 6, 5, '2025-07-24', '2025-07-27', '2025-07-27', NULL, 'On Time'),</t>
  </si>
  <si>
    <t>(2, 10, 2, '2025-09-22', '2025-09-25', '2025-09-25', NULL, 'On Time'),</t>
  </si>
  <si>
    <t>(7, 1, 2, '2025-08-17', '2025-08-22', '2025-08-19', NULL, 'On Time'),</t>
  </si>
  <si>
    <t>(9, 9, 3, '2025-12-13', '2025-12-16', '2025-12-16', NULL, 'On Time'),</t>
  </si>
  <si>
    <t>(6, 5, 4, '2025-08-04', '2025-08-07', '2025-08-04', NULL, 'On Time'),</t>
  </si>
  <si>
    <t>(1, 4, 3, '2025-11-03', '2025-11-08', '2025-11-05', NULL, 'On Time'),</t>
  </si>
  <si>
    <t>(3, 8, 4, '2025-09-22', '2025-09-27', '2025-09-26', NULL, 'On Time'),</t>
  </si>
  <si>
    <t>(10, 4, 5, '2025-10-09', '2025-10-12', '2025-10-09', NULL, 'On Time'),</t>
  </si>
  <si>
    <t>(10, 2, 2, '2025-12-04', '2025-12-07', '2025-12-07', NULL, 'On Time'),</t>
  </si>
  <si>
    <t>(6, 7, 2, '2025-09-30', '2025-10-03', '2025-09-30', NULL, 'On Time'),</t>
  </si>
  <si>
    <t>(4, 10, 1, '2025-07-19', '2025-07-23', '2025-07-22', NULL, 'On Time'),</t>
  </si>
  <si>
    <t>(8, 1, 5, '2025-08-16', '2025-08-20', '2025-08-18', NULL, 'On Time'),</t>
  </si>
  <si>
    <t>(2, 3, 4, '2025-09-11', '2025-09-15', '2025-09-15', NULL, 'On Time'),</t>
  </si>
  <si>
    <t>(9, 8, 4, '2025-07-05', '2025-07-10', '2025-07-08', NULL, 'On Time'),</t>
  </si>
  <si>
    <t>(6, 10, 4, '2025-09-12', '2025-09-16', '2025-09-13', NULL, 'On Time'),</t>
  </si>
  <si>
    <t>(10, 7, 4, '2025-10-02', '2025-10-06', '2025-10-04', NULL, 'On Time'),</t>
  </si>
  <si>
    <t>(9, 1, 5, '2025-08-23', '2025-08-27', '2025-08-26', NULL, 'On Time'),</t>
  </si>
  <si>
    <t>(2, 1, 5, '2025-10-17', '2025-10-20', '2025-10-20', NULL, 'On Time'),</t>
  </si>
  <si>
    <t>(7, 1, 2, '2025-09-25', '2025-09-28', '2025-09-26', NULL, 'On Time'),</t>
  </si>
  <si>
    <t>(8, 9, 3, '2025-07-31', '2025-08-04', '2025-08-03', NULL, 'On Time'),</t>
  </si>
  <si>
    <t>(6, 7, 3, '2025-10-30', '2025-11-04', '2025-11-04', NULL, 'On Time'),</t>
  </si>
  <si>
    <t>(3, 3, 4, '2025-08-18', '2025-08-23', '2025-08-21', NULL, 'On Time'),</t>
  </si>
  <si>
    <t>(6, 8, 5, '2025-08-21', '2025-08-25', '2025-08-23', NULL, 'On Time'),</t>
  </si>
  <si>
    <t>(10, 8, 2, '2025-12-19', '2025-12-23', '2025-12-23', NULL, 'On Time'),</t>
  </si>
  <si>
    <t>(8, 3, 5, '2025-07-09', '2025-07-14', '2025-07-13', NULL, 'On Time'),</t>
  </si>
  <si>
    <t>(3, 7, 3, '2025-12-06', '2025-12-11', '2025-12-10', NULL, 'On Time'),</t>
  </si>
  <si>
    <t>(8, 3, 3, '2025-12-23', '2025-12-27', '2025-12-26', NULL, 'On Time'),</t>
  </si>
  <si>
    <t>(10, 7, 2, '2025-09-22', '2025-09-25', '2025-09-23', NULL, 'On Time'),</t>
  </si>
  <si>
    <t>(4, 8, 3, '2025-11-12', '2025-11-15', '2025-11-13', NULL, 'On Time'),</t>
  </si>
  <si>
    <t>(8, 10, 3, '2025-12-20', '2025-12-23', '2025-12-21', NULL, 'On Time'),</t>
  </si>
  <si>
    <t>(10, 2, 2, '2025-07-09', '2025-07-12', '2025-07-10', NULL, 'On Time'),</t>
  </si>
  <si>
    <t>(8, 8, 2, '2025-09-23', '2025-09-27', '2025-09-27', NULL, 'On Time'),</t>
  </si>
  <si>
    <t>(8, 3, 3, '2025-11-09', '2025-11-14', '2025-11-11', NULL, 'On Time'),</t>
  </si>
  <si>
    <t>(6, 1, 1, '2025-09-10', '2025-09-14', '2025-09-12', NULL, 'On Time'),</t>
  </si>
  <si>
    <t>(3, 6, 1, '2025-12-24', '2025-12-28', '2025-12-25', NULL, 'On Time'),</t>
  </si>
  <si>
    <t>(4, 7, 3, '2025-08-04', '2025-08-07', '2025-08-07', NULL, 'On Time'),</t>
  </si>
  <si>
    <t>(3, 7, 2, '2025-07-31', '2025-08-03', '2025-08-01', NULL, 'On Time'),</t>
  </si>
  <si>
    <t>(2, 2, 5, '2025-07-14', '2025-07-18', '2025-07-17', NULL, 'On Time'),</t>
  </si>
  <si>
    <t>(3, 2, 2, '2025-09-27', '2025-10-01', '2025-09-30', NULL, 'On Time'),</t>
  </si>
  <si>
    <t>(5, 1, 5, '2025-11-13', '2025-11-16', '2025-11-16', NULL, 'On Time'),</t>
  </si>
  <si>
    <t>(10, 5, 5, '2025-10-01', '2025-10-06', '2025-10-05', NULL, 'On Time'),</t>
  </si>
  <si>
    <t>(5, 9, 5, '2025-11-06', '2025-11-11', '2025-11-11', NULL, 'On Time'),</t>
  </si>
  <si>
    <t>(6, 1, 1, '2025-09-03', '2025-09-07', '2025-09-04', NULL, 'On Time'),</t>
  </si>
  <si>
    <t>(8, 4, 4, '2025-12-28', '2025-12-31', '2025-12-30', NULL, 'On Time'),</t>
  </si>
  <si>
    <t>(4, 5, 2, '2025-11-05', '2025-11-08', '2025-11-07', NULL, 'On Time'),</t>
  </si>
  <si>
    <t>(3, 5, 4, '2025-07-28', '2025-08-01', '2025-08-01', NULL, 'On Time'),</t>
  </si>
  <si>
    <t>(8, 2, 1, '2025-10-24', '2025-10-29', '2025-10-28', NULL, 'On Time'),</t>
  </si>
  <si>
    <t>(8, 9, 1, '2025-09-28', '2025-10-03', '2025-10-01', NULL, 'On Time'),</t>
  </si>
  <si>
    <t>(2, 4, 5, '2025-07-26', '2025-07-30', '2025-07-29', NULL, 'On Time'),</t>
  </si>
  <si>
    <t>(2, 5, 2, '2025-08-15', '2025-08-20', '2025-08-20', NULL, 'On Time'),</t>
  </si>
  <si>
    <t>(10, 10, 2, '2025-08-18', '2025-08-21', '2025-08-19', NULL, 'On Time'),</t>
  </si>
  <si>
    <t>(5, 10, 5, '2025-11-13', '2025-11-16', '2025-11-14', NULL, 'On Time'),</t>
  </si>
  <si>
    <t>(2, 8, 5, '2025-10-01', '2025-10-04', '2025-10-01', NULL, 'On Time'),</t>
  </si>
  <si>
    <t>(5, 7, 4, '2025-08-22', '2025-08-26', '2025-08-24', NULL, 'On Time'),</t>
  </si>
  <si>
    <t>(8, 2, 4, '2025-12-27', '2025-12-31', '2025-12-28', NULL, 'On Time'),</t>
  </si>
  <si>
    <t>(2, 9, 2, '2025-07-11', '2025-07-15', '2025-07-13', NULL, 'On Time'),</t>
  </si>
  <si>
    <t>(1, 6, 2, '2025-11-05', '2025-11-10', '2025-11-10', NULL, 'On Time'),</t>
  </si>
  <si>
    <t>(2, 10, 2, '2025-09-10', '2025-09-13', '2025-09-12', NULL, 'On Time'),</t>
  </si>
  <si>
    <t>(2, 4, 5, '2025-07-05', '2025-07-09', '2025-07-08', NULL, 'On Time'),</t>
  </si>
  <si>
    <t>(8, 7, 4, '2025-08-14', '2025-08-18', '2025-08-18', NULL, 'On Time'),</t>
  </si>
  <si>
    <t>(3, 10, 1, '2025-10-26', '2025-10-30', '2025-10-29', NULL, 'On Time'),</t>
  </si>
  <si>
    <t>(4, 7, 4, '2025-07-19', '2025-07-24', '2025-07-24', NULL, 'On Time'),</t>
  </si>
  <si>
    <t>(8, 5, 3, '2025-11-22', '2025-11-25', '2025-11-22', NULL, 'On Time'),</t>
  </si>
  <si>
    <t>(5, 1, 5, '2025-12-17', '2025-12-20', '2025-12-20', NULL, 'On Time'),</t>
  </si>
  <si>
    <t>(7, 4, 2, '2025-11-09', '2025-11-12', '2025-11-12', NULL, 'On Time'),</t>
  </si>
  <si>
    <t>(6, 8, 4, '2025-09-19', '2025-09-24', '2025-09-24', NULL, 'On Time'),</t>
  </si>
  <si>
    <t>(6, 3, 3, '2025-12-18', '2025-12-22', '2025-12-19', NULL, 'On Time'),</t>
  </si>
  <si>
    <t>(8, 1, 2, '2025-10-28', '2025-11-02', '2025-11-02', NULL, 'On Time'),</t>
  </si>
  <si>
    <t>(10, 6, 5, '2025-12-29', '2026-01-02', '2026-01-01', NULL, 'On Time'),</t>
  </si>
  <si>
    <t>(2, 1, 5, '2025-10-14', '2025-10-19', '2025-10-20', 'DR05', 'Delayed'),</t>
  </si>
  <si>
    <t>(10, 2, 4, '2025-11-15', '2025-11-18', '2025-11-19', 'DR04', 'Delayed'),</t>
  </si>
  <si>
    <t>(3, 10, 5, '2025-12-11', '2025-12-16', '2025-12-17', 'DR04', 'Delayed'),</t>
  </si>
  <si>
    <t>(7, 6, 3, '2025-07-10', '2025-07-15', '2025-07-17', 'DR03', 'Delayed'),</t>
  </si>
  <si>
    <t>(10, 1, 2, '2025-12-15', '2025-12-18', '2025-12-19', 'DR02', 'Delayed'),</t>
  </si>
  <si>
    <t>(5, 6, 4, '2025-10-11', '2025-10-15', '2025-10-16', 'DR03', 'Delayed'),</t>
  </si>
  <si>
    <t>(9, 9, 4, '2025-10-04', '2025-10-08', '2025-10-09', 'DR04', 'Delayed'),</t>
  </si>
  <si>
    <t>(6, 7, 3, '2025-11-26', '2025-11-30', '2025-12-02', 'DR02', 'Delayed'),</t>
  </si>
  <si>
    <t>(3, 1, 3, '2025-08-12', '2025-08-16', '2025-08-19', 'DR02', 'Delayed'),</t>
  </si>
  <si>
    <t>(5, 10, 2, '2025-09-18', '2025-09-22', '2025-09-23', 'DR03', 'Delayed'),</t>
  </si>
  <si>
    <t>(1, 2, 4, '2025-10-24', '2025-10-27', '2025-10-30', 'DR02', 'Delayed'),</t>
  </si>
  <si>
    <t>(5, 5, 3, '2025-11-19', '2025-11-23', '2025-11-26', 'DR03', 'Delayed'),</t>
  </si>
  <si>
    <t>(10, 5, 5, '2025-12-07', '2025-12-10', '2025-12-12', 'DR01', 'Delayed'),</t>
  </si>
  <si>
    <t>(7, 3, 5, '2025-11-27', '2025-12-01', '2025-12-04', 'DR02', 'Delayed'),</t>
  </si>
  <si>
    <t>(7, 10, 3, '2025-11-02', '2025-11-06', '2025-11-07', 'DR05', 'Delayed'),</t>
  </si>
  <si>
    <t>(9, 8, 1, '2025-09-18', '2025-09-21', '2025-09-23', 'DR05', 'Delayed'),</t>
  </si>
  <si>
    <t>(6, 8, 5, '2025-11-24', '2025-11-29', '2025-12-02', 'DR02', 'Delayed'),</t>
  </si>
  <si>
    <t>(6, 10, 5, '2025-12-27', '2025-12-31', '2026-01-01', 'DR04', 'Delayed'),</t>
  </si>
  <si>
    <t>(8, 6, 3, '2025-07-10', '2025-07-14', '2025-07-17', 'DR01', 'Delayed'),</t>
  </si>
  <si>
    <t>(2, 3, 1, '2025-09-06', '2025-09-10', '2025-09-12', 'DR01', 'Delayed'),</t>
  </si>
  <si>
    <t>(10, 2, 3, '2025-12-26', '2025-12-30', '2025-12-31', 'DR05', 'Delayed'),</t>
  </si>
  <si>
    <t>(1, 10, 2, '2025-12-21', '2025-12-26', '2025-12-27', 'DR03', 'Delayed'),</t>
  </si>
  <si>
    <t>(2, 10, 2, '2025-11-09', '2025-11-12', '2025-11-15', 'DR04', 'Delayed'),</t>
  </si>
  <si>
    <t>(6, 10, 2, '2025-09-28', '2025-10-01', '2025-10-04', 'DR02', 'Delayed'),</t>
  </si>
  <si>
    <t>(10, 5, 4, '2025-12-30', '2026-01-04', '2026-01-07', 'DR04', 'Delayed'),</t>
  </si>
  <si>
    <t>(9, 4, 2, '2025-11-28', '2025-12-01', '2025-12-04', 'DR01', 'Delayed'),</t>
  </si>
  <si>
    <t>(5, 7, 3, '2025-10-25', '2025-10-30', '2025-11-02', 'DR04', 'Delayed'),</t>
  </si>
  <si>
    <t>(1, 1, 4, '2025-11-25', '2025-11-30', '2025-12-01', 'DR05', 'Delayed'),</t>
  </si>
  <si>
    <t>(5, 2, 5, '2025-12-25', '2025-12-30', '2026-01-02', 'DR03', 'Delayed'),</t>
  </si>
  <si>
    <t>(1, 3, 3, '2025-12-25', '2025-12-30', '2026-01-02', 'DR03', 'Delayed'),</t>
  </si>
  <si>
    <t>(10, 8, 5, '2025-10-20', '2025-10-25', '2025-10-27', 'DR04', 'Delayed'),</t>
  </si>
  <si>
    <t>(8, 6, 2, '2025-10-24', '2025-10-29', '2025-11-01', 'DR01', 'Delayed'),</t>
  </si>
  <si>
    <t>(7, 4, 4, '2025-09-10', '2025-09-13', '2025-09-15', 'DR01', 'Delayed'),</t>
  </si>
  <si>
    <t>(8, 8, 4, '2025-09-11', '2025-09-15', '2025-09-17', 'DR02', 'Delayed'),</t>
  </si>
  <si>
    <t>(8, 1, 1, '2025-09-19', '2025-09-24', '2025-09-26', 'DR04', 'Delayed'),</t>
  </si>
  <si>
    <t>(5, 2, 5, '2025-11-07', '2025-11-10', '2025-11-13', 'DR02', 'Delayed'),</t>
  </si>
  <si>
    <t>(6, 9, 1, '2025-12-16', '2025-12-19', '2025-12-21', 'DR03', 'Delayed'),</t>
  </si>
  <si>
    <t>(10, 3, 1, '2025-07-03', '2025-07-06', '2025-07-07', 'DR02', 'Delayed'),</t>
  </si>
  <si>
    <t>(3, 5, 3, '2025-07-28', '2025-07-31', '2025-08-01', 'DR02', 'Delayed'),</t>
  </si>
  <si>
    <t>(8, 8, 5, '2025-08-11', '2025-08-16', '2025-08-17', 'DR03', 'Delayed'),</t>
  </si>
  <si>
    <t>(7, 2, 2, '2025-10-29', '2025-11-03', NULL, NULL, 'In Transit'),</t>
  </si>
  <si>
    <t>(3, 9, 1, '2025-08-27', '2025-08-31', NULL, NULL, 'In Transit'),</t>
  </si>
  <si>
    <t>(6, 8, 3, '2025-10-09', '2025-10-14', NULL, NULL, 'In Transit'),</t>
  </si>
  <si>
    <t>(10, 2, 1, '2025-09-27', '2025-09-30', NULL, NULL, 'In Transit'),</t>
  </si>
  <si>
    <t>(2, 4, 4, '2025-10-29', '2025-11-03', NULL, NULL, 'In Transit'),</t>
  </si>
  <si>
    <t>(3, 9, 4, '2025-12-04', '2025-12-08', NULL, NULL, 'In Transit'),</t>
  </si>
  <si>
    <t>(9, 9, 4, '2025-07-31', '2025-08-03', NULL, NULL, 'In Transit'),</t>
  </si>
  <si>
    <t>(2, 5, 4, '2025-10-29', '2025-11-02', NULL, NULL, 'In Transit'),</t>
  </si>
  <si>
    <t>(9, 9, 5, '2025-12-09', '2025-12-13', NULL, NULL, 'In Transit'),</t>
  </si>
  <si>
    <t>(6, 6, 1, '2025-07-11', '2025-07-14', NULL, NULL, 'In Transit'),</t>
  </si>
  <si>
    <t>(3, 9, 1, '2025-08-05', '2025-08-09', NULL, NULL, 'In Transit'),</t>
  </si>
  <si>
    <t>(7, 3, 2, '2025-12-09', '2025-12-12', NULL, NULL, 'In Transit'),</t>
  </si>
  <si>
    <t>(1, 6, 1, '2025-11-12', '2025-11-17', NULL, NULL, 'In Transit'),</t>
  </si>
  <si>
    <t>(6, 9, 3, '2025-12-17', '2025-12-20', NULL, NULL, 'In Transit'),</t>
  </si>
  <si>
    <t>(6, 5, 2, '2025-09-06', '2025-09-09', NULL, NULL, 'In Transit'),</t>
  </si>
  <si>
    <t>(4, 9, 4, '2025-08-08', '2025-08-13', NULL, NULL, 'In Transit'),</t>
  </si>
  <si>
    <t>(5, 8, 4, '2025-11-02', '2025-11-06', NULL, NULL, 'In Transit'),</t>
  </si>
  <si>
    <t>(10, 8, 1, '2025-12-25', '2025-12-29', NULL, NULL, 'In Transit'),</t>
  </si>
  <si>
    <t>(10, 3, 1, '2025-10-19', '2025-10-23', NULL, NULL, 'In Transit'),</t>
  </si>
  <si>
    <t>(6, 1, 5, '2025-11-26', '2025-11-29', NULL, NULL, 'In Transit');</t>
  </si>
  <si>
    <t>total_completed_shipments</t>
  </si>
  <si>
    <t xml:space="preserve"> on_time_shipments</t>
  </si>
  <si>
    <t xml:space="preserve"> on_time_percentage</t>
  </si>
  <si>
    <t>Overall SLA</t>
  </si>
  <si>
    <t>Carrier Performance</t>
  </si>
  <si>
    <t>carrier_name</t>
  </si>
  <si>
    <t xml:space="preserve"> total_orders</t>
  </si>
  <si>
    <t xml:space="preserve"> delayed_orders</t>
  </si>
  <si>
    <t xml:space="preserve"> delay_percentage</t>
  </si>
  <si>
    <t>EcomExpress</t>
  </si>
  <si>
    <t>Amazon Transport</t>
  </si>
  <si>
    <t>DTDC</t>
  </si>
  <si>
    <t>Delhivery</t>
  </si>
  <si>
    <t>BlueDart</t>
  </si>
  <si>
    <t>Region Delay Performance</t>
  </si>
  <si>
    <t>region</t>
  </si>
  <si>
    <t xml:space="preserve"> total_shipments</t>
  </si>
  <si>
    <t xml:space="preserve"> delayed_shipments</t>
  </si>
  <si>
    <t>North</t>
  </si>
  <si>
    <t>South</t>
  </si>
  <si>
    <t>East</t>
  </si>
  <si>
    <t>West</t>
  </si>
  <si>
    <t>Delay Reason Analysis</t>
  </si>
  <si>
    <t>delay_reason</t>
  </si>
  <si>
    <t xml:space="preserve"> occurrences</t>
  </si>
  <si>
    <t>Vehicle Breakdown</t>
  </si>
  <si>
    <t>Linehaul Delay</t>
  </si>
  <si>
    <t>Hub Congestion</t>
  </si>
  <si>
    <t>Weather Issue</t>
  </si>
  <si>
    <t>Customer Not Available</t>
  </si>
  <si>
    <t>Monthly SLA Trend</t>
  </si>
  <si>
    <t>month</t>
  </si>
  <si>
    <t>2025-07</t>
  </si>
  <si>
    <t>2025-08</t>
  </si>
  <si>
    <t>2025-09</t>
  </si>
  <si>
    <t>2025-10</t>
  </si>
  <si>
    <t>2025-11</t>
  </si>
  <si>
    <t>2025-12</t>
  </si>
  <si>
    <t>Transportation Network SLA Performance Dashboard</t>
  </si>
  <si>
    <t>Total Shipments</t>
  </si>
  <si>
    <t>On-Time %</t>
  </si>
  <si>
    <t>Delay %</t>
  </si>
  <si>
    <t>Delayed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</si>
</sst>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8"/>
      <color theme="4" tint="-0.249977111117893"/>
      <name val="Calibri"/>
      <family val="2"/>
      <scheme val="minor"/>
    </font>
    <font>
      <sz val="32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9" fontId="0" fillId="0" borderId="0" xfId="2" applyFont="1"/>
    <xf numFmtId="0" fontId="0" fillId="0" borderId="0" xfId="1" applyNumberFormat="1" applyFont="1"/>
    <xf numFmtId="0" fontId="0" fillId="0" borderId="0" xfId="0" applyAlignment="1">
      <alignment vertical="center" wrapText="1"/>
    </xf>
    <xf numFmtId="0" fontId="2" fillId="5" borderId="0" xfId="0" applyFont="1" applyFill="1"/>
    <xf numFmtId="10" fontId="0" fillId="0" borderId="0" xfId="2" applyNumberFormat="1" applyFont="1" applyAlignment="1">
      <alignment vertical="center" wrapText="1"/>
    </xf>
    <xf numFmtId="10" fontId="0" fillId="0" borderId="0" xfId="2" applyNumberFormat="1" applyFont="1"/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wrapText="1"/>
    </xf>
    <xf numFmtId="10" fontId="4" fillId="7" borderId="4" xfId="2" applyNumberFormat="1" applyFont="1" applyFill="1" applyBorder="1" applyAlignment="1">
      <alignment horizontal="center" wrapText="1"/>
    </xf>
    <xf numFmtId="10" fontId="4" fillId="7" borderId="0" xfId="2" applyNumberFormat="1" applyFont="1" applyFill="1" applyBorder="1" applyAlignment="1">
      <alignment horizontal="center" wrapText="1"/>
    </xf>
    <xf numFmtId="10" fontId="4" fillId="7" borderId="5" xfId="2" applyNumberFormat="1" applyFont="1" applyFill="1" applyBorder="1" applyAlignment="1">
      <alignment horizontal="center" wrapText="1"/>
    </xf>
    <xf numFmtId="10" fontId="4" fillId="7" borderId="6" xfId="2" applyNumberFormat="1" applyFont="1" applyFill="1" applyBorder="1" applyAlignment="1">
      <alignment horizontal="center" wrapText="1"/>
    </xf>
    <xf numFmtId="10" fontId="4" fillId="7" borderId="7" xfId="2" applyNumberFormat="1" applyFont="1" applyFill="1" applyBorder="1" applyAlignment="1">
      <alignment horizontal="center" wrapText="1"/>
    </xf>
    <xf numFmtId="10" fontId="4" fillId="7" borderId="8" xfId="2" applyNumberFormat="1" applyFont="1" applyFill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E6E6E6"/>
      <color rgb="FFDCDCDC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Carrier</a:t>
            </a:r>
            <a:r>
              <a:rPr lang="en-US" sz="2400" baseline="0">
                <a:solidFill>
                  <a:schemeClr val="tx1"/>
                </a:solidFill>
              </a:rPr>
              <a:t> Delay %</a:t>
            </a:r>
            <a:endParaRPr lang="en-US" sz="24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93745639390012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Tables!$D$8</c:f>
              <c:strCache>
                <c:ptCount val="1"/>
                <c:pt idx="0">
                  <c:v> delay_percentage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Tables!$A$9:$A$13</c:f>
              <c:strCache>
                <c:ptCount val="5"/>
                <c:pt idx="0">
                  <c:v>BlueDart</c:v>
                </c:pt>
                <c:pt idx="1">
                  <c:v>Delhivery</c:v>
                </c:pt>
                <c:pt idx="2">
                  <c:v>DTDC</c:v>
                </c:pt>
                <c:pt idx="3">
                  <c:v>Amazon Transport</c:v>
                </c:pt>
                <c:pt idx="4">
                  <c:v>EcomExpress</c:v>
                </c:pt>
              </c:strCache>
            </c:strRef>
          </c:cat>
          <c:val>
            <c:numRef>
              <c:f>Tables!$D$9:$D$13</c:f>
              <c:numCache>
                <c:formatCode>0.00%</c:formatCode>
                <c:ptCount val="5"/>
                <c:pt idx="0">
                  <c:v>0.17857142857142858</c:v>
                </c:pt>
                <c:pt idx="1">
                  <c:v>0.1891891891891892</c:v>
                </c:pt>
                <c:pt idx="2">
                  <c:v>0.22727272727272727</c:v>
                </c:pt>
                <c:pt idx="3">
                  <c:v>0.24242424242424243</c:v>
                </c:pt>
                <c:pt idx="4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A-4305-BC59-871E5ECCE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3049664"/>
        <c:axId val="19430501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Tables!$B$8</c15:sqref>
                        </c15:formulaRef>
                      </c:ext>
                    </c:extLst>
                    <c:strCache>
                      <c:ptCount val="1"/>
                      <c:pt idx="0">
                        <c:v> total_orders</c:v>
                      </c:pt>
                    </c:strCache>
                  </c:strRef>
                </c:tx>
                <c:spPr>
                  <a:solidFill>
                    <a:schemeClr val="accent1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Tables!$A$9:$A$13</c15:sqref>
                        </c15:formulaRef>
                      </c:ext>
                    </c:extLst>
                    <c:strCache>
                      <c:ptCount val="5"/>
                      <c:pt idx="0">
                        <c:v>BlueDart</c:v>
                      </c:pt>
                      <c:pt idx="1">
                        <c:v>Delhivery</c:v>
                      </c:pt>
                      <c:pt idx="2">
                        <c:v>DTDC</c:v>
                      </c:pt>
                      <c:pt idx="3">
                        <c:v>Amazon Transport</c:v>
                      </c:pt>
                      <c:pt idx="4">
                        <c:v>EcomExpress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Tables!$B$9:$B$13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</c:v>
                      </c:pt>
                      <c:pt idx="1">
                        <c:v>37</c:v>
                      </c:pt>
                      <c:pt idx="2">
                        <c:v>44</c:v>
                      </c:pt>
                      <c:pt idx="3">
                        <c:v>33</c:v>
                      </c:pt>
                      <c:pt idx="4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BFA-4305-BC59-871E5ECCE8D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Tables!$C$8</c15:sqref>
                        </c15:formulaRef>
                      </c:ext>
                    </c:extLst>
                    <c:strCache>
                      <c:ptCount val="1"/>
                      <c:pt idx="0">
                        <c:v> delayed_orders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Tables!$A$9:$A$13</c15:sqref>
                        </c15:formulaRef>
                      </c:ext>
                    </c:extLst>
                    <c:strCache>
                      <c:ptCount val="5"/>
                      <c:pt idx="0">
                        <c:v>BlueDart</c:v>
                      </c:pt>
                      <c:pt idx="1">
                        <c:v>Delhivery</c:v>
                      </c:pt>
                      <c:pt idx="2">
                        <c:v>DTDC</c:v>
                      </c:pt>
                      <c:pt idx="3">
                        <c:v>Amazon Transport</c:v>
                      </c:pt>
                      <c:pt idx="4">
                        <c:v>EcomExpress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Tables!$C$9:$C$13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7</c:v>
                      </c:pt>
                      <c:pt idx="2">
                        <c:v>10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FA-4305-BC59-871E5ECCE8D6}"/>
                  </c:ext>
                </c:extLst>
              </c15:ser>
            </c15:filteredBarSeries>
          </c:ext>
        </c:extLst>
      </c:barChart>
      <c:catAx>
        <c:axId val="194304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050144"/>
        <c:crosses val="autoZero"/>
        <c:auto val="1"/>
        <c:lblAlgn val="ctr"/>
        <c:lblOffset val="100"/>
        <c:noMultiLvlLbl val="0"/>
      </c:catAx>
      <c:valAx>
        <c:axId val="194305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04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Region Delay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Tables!$D$17</c:f>
              <c:strCache>
                <c:ptCount val="1"/>
                <c:pt idx="0">
                  <c:v> delay_percentage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Tables!$A$18:$A$21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Tables!$D$18:$D$21</c:f>
              <c:numCache>
                <c:formatCode>0.00%</c:formatCode>
                <c:ptCount val="4"/>
                <c:pt idx="0">
                  <c:v>0.18604651162790697</c:v>
                </c:pt>
                <c:pt idx="1">
                  <c:v>0.21739130434782608</c:v>
                </c:pt>
                <c:pt idx="2">
                  <c:v>0.22222222222222221</c:v>
                </c:pt>
                <c:pt idx="3">
                  <c:v>0.25490196078431371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3-431E-B489-82EC6E09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5336096"/>
        <c:axId val="1611831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Tables!$B$17</c15:sqref>
                        </c15:formulaRef>
                      </c:ext>
                    </c:extLst>
                    <c:strCache>
                      <c:ptCount val="1"/>
                      <c:pt idx="0">
                        <c:v> total_shipments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Tables!$A$18:$A$21</c15:sqref>
                        </c15:formulaRef>
                      </c:ext>
                    </c:extLst>
                    <c:strCache>
                      <c:ptCount val="4"/>
                      <c:pt idx="0">
                        <c:v>West</c:v>
                      </c:pt>
                      <c:pt idx="1">
                        <c:v>East</c:v>
                      </c:pt>
                      <c:pt idx="2">
                        <c:v>South</c:v>
                      </c:pt>
                      <c:pt idx="3">
                        <c:v>North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Tables!$B$18:$B$21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43</c:v>
                      </c:pt>
                      <c:pt idx="1">
                        <c:v>23</c:v>
                      </c:pt>
                      <c:pt idx="2">
                        <c:v>63</c:v>
                      </c:pt>
                      <c:pt idx="3">
                        <c:v>51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83-431E-B489-82EC6E097FB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Tables!$C$17</c15:sqref>
                        </c15:formulaRef>
                      </c:ext>
                    </c:extLst>
                    <c:strCache>
                      <c:ptCount val="1"/>
                      <c:pt idx="0">
                        <c:v> delayed_shipments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Tables!$A$18:$A$21</c15:sqref>
                        </c15:formulaRef>
                      </c:ext>
                    </c:extLst>
                    <c:strCache>
                      <c:ptCount val="4"/>
                      <c:pt idx="0">
                        <c:v>West</c:v>
                      </c:pt>
                      <c:pt idx="1">
                        <c:v>East</c:v>
                      </c:pt>
                      <c:pt idx="2">
                        <c:v>South</c:v>
                      </c:pt>
                      <c:pt idx="3">
                        <c:v>North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Tables!$C$18:$C$21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</c:v>
                      </c:pt>
                      <c:pt idx="1">
                        <c:v>5</c:v>
                      </c:pt>
                      <c:pt idx="2">
                        <c:v>14</c:v>
                      </c:pt>
                      <c:pt idx="3">
                        <c:v>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83-431E-B489-82EC6E097FB2}"/>
                  </c:ext>
                </c:extLst>
              </c15:ser>
            </c15:filteredBarSeries>
          </c:ext>
        </c:extLst>
      </c:barChart>
      <c:catAx>
        <c:axId val="190533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831008"/>
        <c:crosses val="autoZero"/>
        <c:auto val="1"/>
        <c:lblAlgn val="ctr"/>
        <c:lblOffset val="100"/>
        <c:noMultiLvlLbl val="0"/>
      </c:catAx>
      <c:valAx>
        <c:axId val="161183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3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8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Monthly SLA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Tables!$D$34</c:f>
              <c:strCache>
                <c:ptCount val="1"/>
                <c:pt idx="0">
                  <c:v> delay_percentage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Tables!$A$35:$A$40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Tables!$D$35:$D$40</c:f>
              <c:numCache>
                <c:formatCode>0.00%</c:formatCode>
                <c:ptCount val="6"/>
                <c:pt idx="0">
                  <c:v>0.12903225806451613</c:v>
                </c:pt>
                <c:pt idx="1">
                  <c:v>0.08</c:v>
                </c:pt>
                <c:pt idx="2">
                  <c:v>0.18421052631578946</c:v>
                </c:pt>
                <c:pt idx="3">
                  <c:v>0.31818181818181818</c:v>
                </c:pt>
                <c:pt idx="4">
                  <c:v>0.30303030303030304</c:v>
                </c:pt>
                <c:pt idx="5">
                  <c:v>0.32258064516129031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3-4C1C-986F-8488A9F85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906496"/>
        <c:axId val="19949036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Tables!$B$34</c15:sqref>
                        </c15:formulaRef>
                      </c:ext>
                    </c:extLst>
                    <c:strCache>
                      <c:ptCount val="1"/>
                      <c:pt idx="0">
                        <c:v> total_shipments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Tables!$A$35:$A$40</c15:sqref>
                        </c15:formulaRef>
                      </c:ext>
                    </c:extLst>
                    <c:strCache>
                      <c:ptCount val="6"/>
                      <c:pt idx="0">
                        <c:v>2025-07</c:v>
                      </c:pt>
                      <c:pt idx="1">
                        <c:v>2025-08</c:v>
                      </c:pt>
                      <c:pt idx="2">
                        <c:v>2025-09</c:v>
                      </c:pt>
                      <c:pt idx="3">
                        <c:v>2025-10</c:v>
                      </c:pt>
                      <c:pt idx="4">
                        <c:v>2025-11</c:v>
                      </c:pt>
                      <c:pt idx="5">
                        <c:v>2025-12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Tables!$B$35:$B$40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31</c:v>
                      </c:pt>
                      <c:pt idx="1">
                        <c:v>25</c:v>
                      </c:pt>
                      <c:pt idx="2">
                        <c:v>38</c:v>
                      </c:pt>
                      <c:pt idx="3">
                        <c:v>22</c:v>
                      </c:pt>
                      <c:pt idx="4">
                        <c:v>33</c:v>
                      </c:pt>
                      <c:pt idx="5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03-4C1C-986F-8488A9F8597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Tables!$C$34</c15:sqref>
                        </c15:formulaRef>
                      </c:ext>
                    </c:extLst>
                    <c:strCache>
                      <c:ptCount val="1"/>
                      <c:pt idx="0">
                        <c:v> delayed_shipments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Tables!$A$35:$A$40</c15:sqref>
                        </c15:formulaRef>
                      </c:ext>
                    </c:extLst>
                    <c:strCache>
                      <c:ptCount val="6"/>
                      <c:pt idx="0">
                        <c:v>2025-07</c:v>
                      </c:pt>
                      <c:pt idx="1">
                        <c:v>2025-08</c:v>
                      </c:pt>
                      <c:pt idx="2">
                        <c:v>2025-09</c:v>
                      </c:pt>
                      <c:pt idx="3">
                        <c:v>2025-10</c:v>
                      </c:pt>
                      <c:pt idx="4">
                        <c:v>2025-11</c:v>
                      </c:pt>
                      <c:pt idx="5">
                        <c:v>2025-12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Tables!$C$35:$C$40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</c:v>
                      </c:pt>
                      <c:pt idx="1">
                        <c:v>2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10</c:v>
                      </c:pt>
                      <c:pt idx="5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E03-4C1C-986F-8488A9F8597F}"/>
                  </c:ext>
                </c:extLst>
              </c15:ser>
            </c15:filteredLineSeries>
          </c:ext>
        </c:extLst>
      </c:lineChart>
      <c:catAx>
        <c:axId val="199490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03616"/>
        <c:crosses val="autoZero"/>
        <c:auto val="1"/>
        <c:lblAlgn val="ctr"/>
        <c:lblOffset val="100"/>
        <c:noMultiLvlLbl val="0"/>
      </c:catAx>
      <c:valAx>
        <c:axId val="199490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0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11</xdr:row>
      <xdr:rowOff>152400</xdr:rowOff>
    </xdr:from>
    <xdr:to>
      <xdr:col>10</xdr:col>
      <xdr:colOff>215900</xdr:colOff>
      <xdr:row>45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EC4CD-E7BC-25D2-1490-A45D66536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133350</xdr:rowOff>
    </xdr:from>
    <xdr:to>
      <xdr:col>19</xdr:col>
      <xdr:colOff>1117600</xdr:colOff>
      <xdr:row>45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CBE804-38F1-FDB1-D98D-54E7FCAFB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1104900</xdr:colOff>
      <xdr:row>49</xdr:row>
      <xdr:rowOff>31750</xdr:rowOff>
    </xdr:from>
    <xdr:to>
      <xdr:col>19</xdr:col>
      <xdr:colOff>1130300</xdr:colOff>
      <xdr:row>78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E5FCB3-A921-2CA9-1A96-5D2371D31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78828-7AD9-4612-B259-38C7EE96A1CB}" name="Table1" displayName="Table1" ref="A3:C4" totalsRowShown="0" dataDxfId="21" dataCellStyle="Currency">
  <autoFilter ref="A3:C4" xr:uid="{FC778828-7AD9-4612-B259-38C7EE96A1CB}"/>
  <tableColumns count="3">
    <tableColumn id="1" xr3:uid="{BB51425D-D6D4-41B2-A1DE-4B55FFF00348}" name="total_completed_shipments" dataDxfId="20" dataCellStyle="Currency"/>
    <tableColumn id="2" xr3:uid="{2936C687-A092-4A32-B1DC-2FD495ECA87E}" name=" on_time_shipments" dataDxfId="19" dataCellStyle="Currency"/>
    <tableColumn id="3" xr3:uid="{5AD107CB-DF96-458A-9E1E-A95B83A505AB}" name=" on_time_percentage" dataDxfId="18" dataCellStyle="Percent">
      <calculatedColumnFormula xml:space="preserve"> Table1[[#This Row],[ on_time_shipments]]/Table1[[#This Row],[total_completed_shipments]]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223320-3FEE-46D1-9BDF-44A00A14C59F}" name="Table2" displayName="Table2" ref="A8:D13" totalsRowShown="0" dataDxfId="17">
  <autoFilter ref="A8:D13" xr:uid="{E0223320-3FEE-46D1-9BDF-44A00A14C59F}"/>
  <sortState xmlns:xlrd2="http://schemas.microsoft.com/office/spreadsheetml/2017/richdata2" ref="A9:D13">
    <sortCondition ref="D9:D13"/>
  </sortState>
  <tableColumns count="4">
    <tableColumn id="1" xr3:uid="{F23A0BFA-2CD5-4FB0-AA32-8FBE08C7B86A}" name="carrier_name" dataDxfId="16"/>
    <tableColumn id="2" xr3:uid="{3E478E7F-5FA6-4B11-B517-708524497806}" name=" total_orders" dataDxfId="15"/>
    <tableColumn id="3" xr3:uid="{8939148E-E33F-404D-B3D3-5776BEFF34CD}" name=" delayed_orders" dataDxfId="14"/>
    <tableColumn id="4" xr3:uid="{B9E820FA-A0F4-4F92-B210-4B8283476449}" name=" delay_percentage" dataDxfId="13">
      <calculatedColumnFormula xml:space="preserve"> Table2[[#This Row],[ delayed_orders]]/Table2[[#This Row],[ total_orders]]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478AE-A50E-4981-A454-A893934D3B08}" name="Table3" displayName="Table3" ref="A17:D21" totalsRowShown="0" dataDxfId="12">
  <autoFilter ref="A17:D21" xr:uid="{0A8478AE-A50E-4981-A454-A893934D3B08}"/>
  <sortState xmlns:xlrd2="http://schemas.microsoft.com/office/spreadsheetml/2017/richdata2" ref="A18:D21">
    <sortCondition ref="D18:D21"/>
  </sortState>
  <tableColumns count="4">
    <tableColumn id="1" xr3:uid="{150CBD3D-64A5-41BB-8460-F312F5B7E9DB}" name="region" dataDxfId="11"/>
    <tableColumn id="2" xr3:uid="{581D1E08-7BA2-43DB-BC0C-96DA3D5F982D}" name=" total_shipments" dataDxfId="10"/>
    <tableColumn id="3" xr3:uid="{9895CDFB-78FC-4E69-A58A-53C8A41542A7}" name=" delayed_shipments" dataDxfId="9"/>
    <tableColumn id="4" xr3:uid="{ECD41F16-F16F-4BE7-B080-98A4EE6A7EBE}" name=" delay_percentage" dataDxfId="8" dataCellStyle="Percent">
      <calculatedColumnFormula xml:space="preserve"> Table3[[#This Row],[ delayed_shipments]]/Table3[[#This Row],[ total_shipments]]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B0EC85-2F13-4EA7-A8A3-A29932CD040D}" name="Table4" displayName="Table4" ref="A25:B30" totalsRowShown="0" dataDxfId="7">
  <autoFilter ref="A25:B30" xr:uid="{FDB0EC85-2F13-4EA7-A8A3-A29932CD040D}"/>
  <tableColumns count="2">
    <tableColumn id="1" xr3:uid="{561619E0-875E-4D0B-BE08-3E364BAF69D3}" name="delay_reason" dataDxfId="6"/>
    <tableColumn id="2" xr3:uid="{A4F6B4D0-6C54-49CA-A3C1-F4298A3E52D2}" name=" occurrence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3868C6-2EC5-4235-A3F0-D6EA69C7111A}" name="Table5" displayName="Table5" ref="A34:D40" totalsRowShown="0" dataDxfId="4">
  <autoFilter ref="A34:D40" xr:uid="{403868C6-2EC5-4235-A3F0-D6EA69C7111A}"/>
  <tableColumns count="4">
    <tableColumn id="1" xr3:uid="{95AFA155-A610-4945-B8AF-C02467A9655B}" name="month" dataDxfId="3"/>
    <tableColumn id="2" xr3:uid="{541D1F22-EB41-41E3-AC2B-383289826268}" name=" total_shipments" dataDxfId="2"/>
    <tableColumn id="3" xr3:uid="{52F28775-525E-4947-BB7F-3F4A151405F6}" name=" delayed_shipments" dataDxfId="1"/>
    <tableColumn id="4" xr3:uid="{4B4F7E75-6F13-4429-99FD-7D557E9026D9}" name=" delay_percentage" dataDxfId="0">
      <calculatedColumnFormula>Table5[[#This Row],[ delayed_shipments]]/Table5[[#This Row],[ total_shipments]]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CFAB-2A55-406A-A298-2C6EFFE1BDEB}">
  <dimension ref="A1:J201"/>
  <sheetViews>
    <sheetView workbookViewId="0">
      <selection activeCell="B13" sqref="B13:C22"/>
    </sheetView>
  </sheetViews>
  <sheetFormatPr defaultRowHeight="14.4" x14ac:dyDescent="0.3"/>
  <cols>
    <col min="1" max="1" width="15.109375" customWidth="1"/>
    <col min="2" max="2" width="16.21875" customWidth="1"/>
    <col min="3" max="3" width="20.5546875" customWidth="1"/>
    <col min="4" max="4" width="11.33203125" customWidth="1"/>
    <col min="5" max="5" width="12.77734375" customWidth="1"/>
    <col min="6" max="6" width="25.5546875" customWidth="1"/>
    <col min="7" max="7" width="22.88671875" customWidth="1"/>
    <col min="8" max="8" width="12.33203125" customWidth="1"/>
    <col min="10" max="10" width="58.55468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>
        <v>1</v>
      </c>
      <c r="B2" s="4">
        <f ca="1" xml:space="preserve"> RANDBETWEEN(1, 10)</f>
        <v>7</v>
      </c>
      <c r="C2" s="4">
        <f ca="1" xml:space="preserve"> RANDBETWEEN(1, 10)</f>
        <v>4</v>
      </c>
      <c r="D2" s="4">
        <f ca="1" xml:space="preserve"> RANDBETWEEN(1, 5)</f>
        <v>3</v>
      </c>
      <c r="E2" s="5">
        <f ca="1" xml:space="preserve"> DATE(2025, 7, 1) + RANDBETWEEN(1, 183)</f>
        <v>45850</v>
      </c>
      <c r="F2" s="5">
        <f ca="1" xml:space="preserve"> E2 + RANDBETWEEN(3, 5)</f>
        <v>45854</v>
      </c>
      <c r="G2" s="5">
        <f ca="1" xml:space="preserve"> F2 - RANDBETWEEN(0, 3)</f>
        <v>45852</v>
      </c>
      <c r="H2" s="4"/>
      <c r="I2" s="4" t="str">
        <f ca="1" xml:space="preserve"> IF(G2 = "", "In Transit", IF(G2 &lt;= F2, "On Time", "Delayed"))</f>
        <v>On Time</v>
      </c>
      <c r="J2" s="4" t="str">
        <f ca="1">"("&amp;B2&amp;", "&amp;C2&amp;", "&amp;D2&amp;", "&amp;"'"&amp;TEXT(E2,"yyyy-mm-dd")&amp;"'"&amp;", "&amp;"'"&amp;TEXT(F2,"yyyy-mm-dd")&amp;"'"&amp;", "&amp;IF(G2="","NULL","'"&amp;TEXT(G2,"yyyy-mm-dd")&amp;"'")&amp;", "&amp;IF(H2="","NULL","'"&amp;H2&amp;"'")&amp;", "&amp;"'"&amp;I2&amp;"'"&amp;")"&amp;","</f>
        <v>(7, 4, 3, '2025-07-12', '2025-07-16', '2025-07-14', NULL, 'On Time'),</v>
      </c>
    </row>
    <row r="3" spans="1:10" x14ac:dyDescent="0.3">
      <c r="A3" s="4">
        <v>2</v>
      </c>
      <c r="B3" s="4">
        <f t="shared" ref="B3:C66" ca="1" si="0" xml:space="preserve"> RANDBETWEEN(1, 10)</f>
        <v>9</v>
      </c>
      <c r="C3" s="4">
        <f t="shared" ca="1" si="0"/>
        <v>9</v>
      </c>
      <c r="D3" s="4">
        <f t="shared" ref="D3:D66" ca="1" si="1" xml:space="preserve"> RANDBETWEEN(1, 5)</f>
        <v>5</v>
      </c>
      <c r="E3" s="5">
        <f t="shared" ref="E3:E66" ca="1" si="2" xml:space="preserve"> DATE(2025, 7, 1) + RANDBETWEEN(1, 183)</f>
        <v>45903</v>
      </c>
      <c r="F3" s="5">
        <f t="shared" ref="F3:F66" ca="1" si="3" xml:space="preserve"> E3 + RANDBETWEEN(3, 5)</f>
        <v>45908</v>
      </c>
      <c r="G3" s="5">
        <f t="shared" ref="G3:G66" ca="1" si="4" xml:space="preserve"> F3 - RANDBETWEEN(0, 3)</f>
        <v>45906</v>
      </c>
      <c r="H3" s="4"/>
      <c r="I3" s="4" t="str">
        <f t="shared" ref="I3:I66" ca="1" si="5" xml:space="preserve"> IF(G3 = "", "In Transit", IF(G3 &lt;= F3, "On Time", "Delayed"))</f>
        <v>On Time</v>
      </c>
      <c r="J3" s="4" t="str">
        <f t="shared" ref="J3:J66" ca="1" si="6">"("&amp;B3&amp;", "&amp;C3&amp;", "&amp;D3&amp;", "&amp;"'"&amp;TEXT(E3,"yyyy-mm-dd")&amp;"'"&amp;", "&amp;"'"&amp;TEXT(F3,"yyyy-mm-dd")&amp;"'"&amp;", "&amp;IF(G3="","NULL","'"&amp;TEXT(G3,"yyyy-mm-dd")&amp;"'")&amp;", "&amp;IF(H3="","NULL","'"&amp;H3&amp;"'")&amp;", "&amp;"'"&amp;I3&amp;"'"&amp;")"&amp;","</f>
        <v>(9, 9, 5, '2025-09-03', '2025-09-08', '2025-09-06', NULL, 'On Time'),</v>
      </c>
    </row>
    <row r="4" spans="1:10" x14ac:dyDescent="0.3">
      <c r="A4" s="4">
        <f xml:space="preserve"> A3 + 1</f>
        <v>3</v>
      </c>
      <c r="B4" s="4">
        <f t="shared" ca="1" si="0"/>
        <v>8</v>
      </c>
      <c r="C4" s="4">
        <f t="shared" ca="1" si="0"/>
        <v>2</v>
      </c>
      <c r="D4" s="4">
        <f t="shared" ca="1" si="1"/>
        <v>3</v>
      </c>
      <c r="E4" s="5">
        <f t="shared" ca="1" si="2"/>
        <v>45856</v>
      </c>
      <c r="F4" s="5">
        <f t="shared" ca="1" si="3"/>
        <v>45859</v>
      </c>
      <c r="G4" s="5">
        <f t="shared" ca="1" si="4"/>
        <v>45857</v>
      </c>
      <c r="H4" s="4"/>
      <c r="I4" s="4" t="str">
        <f t="shared" ca="1" si="5"/>
        <v>On Time</v>
      </c>
      <c r="J4" s="4" t="str">
        <f t="shared" ca="1" si="6"/>
        <v>(8, 2, 3, '2025-07-18', '2025-07-21', '2025-07-19', NULL, 'On Time'),</v>
      </c>
    </row>
    <row r="5" spans="1:10" x14ac:dyDescent="0.3">
      <c r="A5" s="4">
        <f t="shared" ref="A5:A68" si="7" xml:space="preserve"> A4 + 1</f>
        <v>4</v>
      </c>
      <c r="B5" s="4">
        <f t="shared" ca="1" si="0"/>
        <v>2</v>
      </c>
      <c r="C5" s="4">
        <f t="shared" ca="1" si="0"/>
        <v>5</v>
      </c>
      <c r="D5" s="4">
        <f t="shared" ca="1" si="1"/>
        <v>3</v>
      </c>
      <c r="E5" s="5">
        <f t="shared" ca="1" si="2"/>
        <v>45881</v>
      </c>
      <c r="F5" s="5">
        <f t="shared" ca="1" si="3"/>
        <v>45885</v>
      </c>
      <c r="G5" s="5">
        <f t="shared" ca="1" si="4"/>
        <v>45884</v>
      </c>
      <c r="H5" s="4"/>
      <c r="I5" s="4" t="str">
        <f t="shared" ca="1" si="5"/>
        <v>On Time</v>
      </c>
      <c r="J5" s="4" t="str">
        <f t="shared" ca="1" si="6"/>
        <v>(2, 5, 3, '2025-08-12', '2025-08-16', '2025-08-15', NULL, 'On Time'),</v>
      </c>
    </row>
    <row r="6" spans="1:10" x14ac:dyDescent="0.3">
      <c r="A6" s="4">
        <f t="shared" si="7"/>
        <v>5</v>
      </c>
      <c r="B6" s="4">
        <f t="shared" ca="1" si="0"/>
        <v>8</v>
      </c>
      <c r="C6" s="4">
        <f t="shared" ca="1" si="0"/>
        <v>1</v>
      </c>
      <c r="D6" s="4">
        <f t="shared" ca="1" si="1"/>
        <v>1</v>
      </c>
      <c r="E6" s="5">
        <f t="shared" ca="1" si="2"/>
        <v>45872</v>
      </c>
      <c r="F6" s="5">
        <f t="shared" ca="1" si="3"/>
        <v>45875</v>
      </c>
      <c r="G6" s="5">
        <f t="shared" ca="1" si="4"/>
        <v>45874</v>
      </c>
      <c r="H6" s="4"/>
      <c r="I6" s="4" t="str">
        <f t="shared" ca="1" si="5"/>
        <v>On Time</v>
      </c>
      <c r="J6" s="4" t="str">
        <f t="shared" ca="1" si="6"/>
        <v>(8, 1, 1, '2025-08-03', '2025-08-06', '2025-08-05', NULL, 'On Time'),</v>
      </c>
    </row>
    <row r="7" spans="1:10" x14ac:dyDescent="0.3">
      <c r="A7" s="4">
        <f t="shared" si="7"/>
        <v>6</v>
      </c>
      <c r="B7" s="4">
        <f t="shared" ca="1" si="0"/>
        <v>8</v>
      </c>
      <c r="C7" s="4">
        <f t="shared" ca="1" si="0"/>
        <v>7</v>
      </c>
      <c r="D7" s="4">
        <f t="shared" ca="1" si="1"/>
        <v>5</v>
      </c>
      <c r="E7" s="5">
        <f t="shared" ca="1" si="2"/>
        <v>45970</v>
      </c>
      <c r="F7" s="5">
        <f t="shared" ca="1" si="3"/>
        <v>45974</v>
      </c>
      <c r="G7" s="5">
        <f t="shared" ca="1" si="4"/>
        <v>45973</v>
      </c>
      <c r="H7" s="4"/>
      <c r="I7" s="4" t="str">
        <f t="shared" ca="1" si="5"/>
        <v>On Time</v>
      </c>
      <c r="J7" s="4" t="str">
        <f t="shared" ca="1" si="6"/>
        <v>(8, 7, 5, '2025-11-09', '2025-11-13', '2025-11-12', NULL, 'On Time'),</v>
      </c>
    </row>
    <row r="8" spans="1:10" x14ac:dyDescent="0.3">
      <c r="A8" s="4">
        <f t="shared" si="7"/>
        <v>7</v>
      </c>
      <c r="B8" s="4">
        <f t="shared" ca="1" si="0"/>
        <v>7</v>
      </c>
      <c r="C8" s="4">
        <f t="shared" ca="1" si="0"/>
        <v>6</v>
      </c>
      <c r="D8" s="4">
        <f t="shared" ca="1" si="1"/>
        <v>1</v>
      </c>
      <c r="E8" s="5">
        <f t="shared" ca="1" si="2"/>
        <v>45955</v>
      </c>
      <c r="F8" s="5">
        <f t="shared" ca="1" si="3"/>
        <v>45958</v>
      </c>
      <c r="G8" s="5">
        <f t="shared" ca="1" si="4"/>
        <v>45955</v>
      </c>
      <c r="H8" s="4"/>
      <c r="I8" s="4" t="str">
        <f t="shared" ca="1" si="5"/>
        <v>On Time</v>
      </c>
      <c r="J8" s="4" t="str">
        <f t="shared" ca="1" si="6"/>
        <v>(7, 6, 1, '2025-10-25', '2025-10-28', '2025-10-25', NULL, 'On Time'),</v>
      </c>
    </row>
    <row r="9" spans="1:10" x14ac:dyDescent="0.3">
      <c r="A9" s="4">
        <f t="shared" si="7"/>
        <v>8</v>
      </c>
      <c r="B9" s="4">
        <f t="shared" ca="1" si="0"/>
        <v>8</v>
      </c>
      <c r="C9" s="4">
        <f t="shared" ca="1" si="0"/>
        <v>8</v>
      </c>
      <c r="D9" s="4">
        <f t="shared" ca="1" si="1"/>
        <v>5</v>
      </c>
      <c r="E9" s="5">
        <f t="shared" ca="1" si="2"/>
        <v>45872</v>
      </c>
      <c r="F9" s="5">
        <f t="shared" ca="1" si="3"/>
        <v>45875</v>
      </c>
      <c r="G9" s="5">
        <f t="shared" ca="1" si="4"/>
        <v>45875</v>
      </c>
      <c r="H9" s="4"/>
      <c r="I9" s="4" t="str">
        <f t="shared" ca="1" si="5"/>
        <v>On Time</v>
      </c>
      <c r="J9" s="4" t="str">
        <f t="shared" ca="1" si="6"/>
        <v>(8, 8, 5, '2025-08-03', '2025-08-06', '2025-08-06', NULL, 'On Time'),</v>
      </c>
    </row>
    <row r="10" spans="1:10" x14ac:dyDescent="0.3">
      <c r="A10" s="4">
        <f t="shared" si="7"/>
        <v>9</v>
      </c>
      <c r="B10" s="4">
        <f t="shared" ca="1" si="0"/>
        <v>8</v>
      </c>
      <c r="C10" s="4">
        <f t="shared" ca="1" si="0"/>
        <v>8</v>
      </c>
      <c r="D10" s="4">
        <f t="shared" ca="1" si="1"/>
        <v>5</v>
      </c>
      <c r="E10" s="5">
        <f t="shared" ca="1" si="2"/>
        <v>46013</v>
      </c>
      <c r="F10" s="5">
        <f t="shared" ca="1" si="3"/>
        <v>46018</v>
      </c>
      <c r="G10" s="5">
        <f t="shared" ca="1" si="4"/>
        <v>46016</v>
      </c>
      <c r="H10" s="4"/>
      <c r="I10" s="4" t="str">
        <f t="shared" ca="1" si="5"/>
        <v>On Time</v>
      </c>
      <c r="J10" s="4" t="str">
        <f t="shared" ca="1" si="6"/>
        <v>(8, 8, 5, '2025-12-22', '2025-12-27', '2025-12-25', NULL, 'On Time'),</v>
      </c>
    </row>
    <row r="11" spans="1:10" x14ac:dyDescent="0.3">
      <c r="A11" s="4">
        <f t="shared" si="7"/>
        <v>10</v>
      </c>
      <c r="B11" s="4">
        <f t="shared" ca="1" si="0"/>
        <v>1</v>
      </c>
      <c r="C11" s="4">
        <f t="shared" ca="1" si="0"/>
        <v>10</v>
      </c>
      <c r="D11" s="4">
        <f t="shared" ca="1" si="1"/>
        <v>2</v>
      </c>
      <c r="E11" s="5">
        <f t="shared" ca="1" si="2"/>
        <v>46020</v>
      </c>
      <c r="F11" s="5">
        <f t="shared" ca="1" si="3"/>
        <v>46025</v>
      </c>
      <c r="G11" s="5">
        <f t="shared" ca="1" si="4"/>
        <v>46024</v>
      </c>
      <c r="H11" s="4"/>
      <c r="I11" s="4" t="str">
        <f t="shared" ca="1" si="5"/>
        <v>On Time</v>
      </c>
      <c r="J11" s="4" t="str">
        <f t="shared" ca="1" si="6"/>
        <v>(1, 10, 2, '2025-12-29', '2026-01-03', '2026-01-02', NULL, 'On Time'),</v>
      </c>
    </row>
    <row r="12" spans="1:10" x14ac:dyDescent="0.3">
      <c r="A12" s="4">
        <f t="shared" si="7"/>
        <v>11</v>
      </c>
      <c r="B12" s="4">
        <f t="shared" ca="1" si="0"/>
        <v>4</v>
      </c>
      <c r="C12" s="4">
        <f t="shared" ca="1" si="0"/>
        <v>7</v>
      </c>
      <c r="D12" s="4">
        <f t="shared" ca="1" si="1"/>
        <v>1</v>
      </c>
      <c r="E12" s="5">
        <f t="shared" ca="1" si="2"/>
        <v>45891</v>
      </c>
      <c r="F12" s="5">
        <f t="shared" ca="1" si="3"/>
        <v>45894</v>
      </c>
      <c r="G12" s="5">
        <f t="shared" ca="1" si="4"/>
        <v>45891</v>
      </c>
      <c r="H12" s="4"/>
      <c r="I12" s="4" t="str">
        <f t="shared" ca="1" si="5"/>
        <v>On Time</v>
      </c>
      <c r="J12" s="4" t="str">
        <f t="shared" ca="1" si="6"/>
        <v>(4, 7, 1, '2025-08-22', '2025-08-25', '2025-08-22', NULL, 'On Time'),</v>
      </c>
    </row>
    <row r="13" spans="1:10" x14ac:dyDescent="0.3">
      <c r="A13" s="4">
        <f t="shared" si="7"/>
        <v>12</v>
      </c>
      <c r="B13" s="4">
        <f t="shared" ca="1" si="0"/>
        <v>6</v>
      </c>
      <c r="C13" s="4">
        <f t="shared" ca="1" si="0"/>
        <v>1</v>
      </c>
      <c r="D13" s="4">
        <f t="shared" ca="1" si="1"/>
        <v>2</v>
      </c>
      <c r="E13" s="5">
        <f t="shared" ca="1" si="2"/>
        <v>45952</v>
      </c>
      <c r="F13" s="5">
        <f t="shared" ca="1" si="3"/>
        <v>45955</v>
      </c>
      <c r="G13" s="5">
        <f t="shared" ca="1" si="4"/>
        <v>45952</v>
      </c>
      <c r="H13" s="4"/>
      <c r="I13" s="4" t="str">
        <f t="shared" ca="1" si="5"/>
        <v>On Time</v>
      </c>
      <c r="J13" s="4" t="str">
        <f t="shared" ca="1" si="6"/>
        <v>(6, 1, 2, '2025-10-22', '2025-10-25', '2025-10-22', NULL, 'On Time'),</v>
      </c>
    </row>
    <row r="14" spans="1:10" x14ac:dyDescent="0.3">
      <c r="A14" s="4">
        <f t="shared" si="7"/>
        <v>13</v>
      </c>
      <c r="B14" s="4">
        <f t="shared" ca="1" si="0"/>
        <v>1</v>
      </c>
      <c r="C14" s="4">
        <f t="shared" ca="1" si="0"/>
        <v>6</v>
      </c>
      <c r="D14" s="4">
        <f t="shared" ca="1" si="1"/>
        <v>2</v>
      </c>
      <c r="E14" s="5">
        <f t="shared" ca="1" si="2"/>
        <v>45934</v>
      </c>
      <c r="F14" s="5">
        <f t="shared" ca="1" si="3"/>
        <v>45939</v>
      </c>
      <c r="G14" s="5">
        <f t="shared" ca="1" si="4"/>
        <v>45938</v>
      </c>
      <c r="H14" s="4"/>
      <c r="I14" s="4" t="str">
        <f t="shared" ca="1" si="5"/>
        <v>On Time</v>
      </c>
      <c r="J14" s="4" t="str">
        <f t="shared" ca="1" si="6"/>
        <v>(1, 6, 2, '2025-10-04', '2025-10-09', '2025-10-08', NULL, 'On Time'),</v>
      </c>
    </row>
    <row r="15" spans="1:10" x14ac:dyDescent="0.3">
      <c r="A15" s="4">
        <f t="shared" si="7"/>
        <v>14</v>
      </c>
      <c r="B15" s="4">
        <f t="shared" ca="1" si="0"/>
        <v>7</v>
      </c>
      <c r="C15" s="4">
        <f t="shared" ca="1" si="0"/>
        <v>10</v>
      </c>
      <c r="D15" s="4">
        <f t="shared" ca="1" si="1"/>
        <v>5</v>
      </c>
      <c r="E15" s="5">
        <f t="shared" ca="1" si="2"/>
        <v>45899</v>
      </c>
      <c r="F15" s="5">
        <f t="shared" ca="1" si="3"/>
        <v>45903</v>
      </c>
      <c r="G15" s="5">
        <f t="shared" ca="1" si="4"/>
        <v>45902</v>
      </c>
      <c r="H15" s="4"/>
      <c r="I15" s="4" t="str">
        <f t="shared" ca="1" si="5"/>
        <v>On Time</v>
      </c>
      <c r="J15" s="4" t="str">
        <f t="shared" ca="1" si="6"/>
        <v>(7, 10, 5, '2025-08-30', '2025-09-03', '2025-09-02', NULL, 'On Time'),</v>
      </c>
    </row>
    <row r="16" spans="1:10" x14ac:dyDescent="0.3">
      <c r="A16" s="4">
        <f t="shared" si="7"/>
        <v>15</v>
      </c>
      <c r="B16" s="4">
        <f t="shared" ca="1" si="0"/>
        <v>10</v>
      </c>
      <c r="C16" s="4">
        <f t="shared" ca="1" si="0"/>
        <v>5</v>
      </c>
      <c r="D16" s="4">
        <f t="shared" ca="1" si="1"/>
        <v>2</v>
      </c>
      <c r="E16" s="5">
        <f t="shared" ca="1" si="2"/>
        <v>45886</v>
      </c>
      <c r="F16" s="5">
        <f t="shared" ca="1" si="3"/>
        <v>45891</v>
      </c>
      <c r="G16" s="5">
        <f t="shared" ca="1" si="4"/>
        <v>45888</v>
      </c>
      <c r="H16" s="4"/>
      <c r="I16" s="4" t="str">
        <f t="shared" ca="1" si="5"/>
        <v>On Time</v>
      </c>
      <c r="J16" s="4" t="str">
        <f t="shared" ca="1" si="6"/>
        <v>(10, 5, 2, '2025-08-17', '2025-08-22', '2025-08-19', NULL, 'On Time'),</v>
      </c>
    </row>
    <row r="17" spans="1:10" x14ac:dyDescent="0.3">
      <c r="A17" s="4">
        <f t="shared" si="7"/>
        <v>16</v>
      </c>
      <c r="B17" s="4">
        <f t="shared" ca="1" si="0"/>
        <v>1</v>
      </c>
      <c r="C17" s="4">
        <f t="shared" ca="1" si="0"/>
        <v>1</v>
      </c>
      <c r="D17" s="4">
        <f t="shared" ca="1" si="1"/>
        <v>1</v>
      </c>
      <c r="E17" s="5">
        <f t="shared" ca="1" si="2"/>
        <v>45955</v>
      </c>
      <c r="F17" s="5">
        <f t="shared" ca="1" si="3"/>
        <v>45959</v>
      </c>
      <c r="G17" s="5">
        <f t="shared" ca="1" si="4"/>
        <v>45956</v>
      </c>
      <c r="H17" s="4"/>
      <c r="I17" s="4" t="str">
        <f t="shared" ca="1" si="5"/>
        <v>On Time</v>
      </c>
      <c r="J17" s="4" t="str">
        <f t="shared" ca="1" si="6"/>
        <v>(1, 1, 1, '2025-10-25', '2025-10-29', '2025-10-26', NULL, 'On Time'),</v>
      </c>
    </row>
    <row r="18" spans="1:10" x14ac:dyDescent="0.3">
      <c r="A18" s="4">
        <f t="shared" si="7"/>
        <v>17</v>
      </c>
      <c r="B18" s="4">
        <f t="shared" ca="1" si="0"/>
        <v>7</v>
      </c>
      <c r="C18" s="4">
        <f t="shared" ca="1" si="0"/>
        <v>3</v>
      </c>
      <c r="D18" s="4">
        <f t="shared" ca="1" si="1"/>
        <v>5</v>
      </c>
      <c r="E18" s="5">
        <f t="shared" ca="1" si="2"/>
        <v>45843</v>
      </c>
      <c r="F18" s="5">
        <f t="shared" ca="1" si="3"/>
        <v>45848</v>
      </c>
      <c r="G18" s="5">
        <f t="shared" ca="1" si="4"/>
        <v>45845</v>
      </c>
      <c r="H18" s="4"/>
      <c r="I18" s="4" t="str">
        <f t="shared" ca="1" si="5"/>
        <v>On Time</v>
      </c>
      <c r="J18" s="4" t="str">
        <f t="shared" ca="1" si="6"/>
        <v>(7, 3, 5, '2025-07-05', '2025-07-10', '2025-07-07', NULL, 'On Time'),</v>
      </c>
    </row>
    <row r="19" spans="1:10" x14ac:dyDescent="0.3">
      <c r="A19" s="4">
        <f t="shared" si="7"/>
        <v>18</v>
      </c>
      <c r="B19" s="4">
        <f t="shared" ca="1" si="0"/>
        <v>10</v>
      </c>
      <c r="C19" s="4">
        <f t="shared" ca="1" si="0"/>
        <v>3</v>
      </c>
      <c r="D19" s="4">
        <f t="shared" ca="1" si="1"/>
        <v>3</v>
      </c>
      <c r="E19" s="5">
        <f t="shared" ca="1" si="2"/>
        <v>45968</v>
      </c>
      <c r="F19" s="5">
        <f t="shared" ca="1" si="3"/>
        <v>45971</v>
      </c>
      <c r="G19" s="5">
        <f t="shared" ca="1" si="4"/>
        <v>45969</v>
      </c>
      <c r="H19" s="4"/>
      <c r="I19" s="4" t="str">
        <f t="shared" ca="1" si="5"/>
        <v>On Time</v>
      </c>
      <c r="J19" s="4" t="str">
        <f t="shared" ca="1" si="6"/>
        <v>(10, 3, 3, '2025-11-07', '2025-11-10', '2025-11-08', NULL, 'On Time'),</v>
      </c>
    </row>
    <row r="20" spans="1:10" x14ac:dyDescent="0.3">
      <c r="A20" s="4">
        <f t="shared" si="7"/>
        <v>19</v>
      </c>
      <c r="B20" s="4">
        <f t="shared" ca="1" si="0"/>
        <v>10</v>
      </c>
      <c r="C20" s="4">
        <f t="shared" ca="1" si="0"/>
        <v>7</v>
      </c>
      <c r="D20" s="4">
        <f t="shared" ca="1" si="1"/>
        <v>4</v>
      </c>
      <c r="E20" s="5">
        <f t="shared" ca="1" si="2"/>
        <v>45915</v>
      </c>
      <c r="F20" s="5">
        <f t="shared" ca="1" si="3"/>
        <v>45918</v>
      </c>
      <c r="G20" s="5">
        <f t="shared" ca="1" si="4"/>
        <v>45917</v>
      </c>
      <c r="H20" s="4"/>
      <c r="I20" s="4" t="str">
        <f t="shared" ca="1" si="5"/>
        <v>On Time</v>
      </c>
      <c r="J20" s="4" t="str">
        <f t="shared" ca="1" si="6"/>
        <v>(10, 7, 4, '2025-09-15', '2025-09-18', '2025-09-17', NULL, 'On Time'),</v>
      </c>
    </row>
    <row r="21" spans="1:10" x14ac:dyDescent="0.3">
      <c r="A21" s="4">
        <f t="shared" si="7"/>
        <v>20</v>
      </c>
      <c r="B21" s="4">
        <f t="shared" ca="1" si="0"/>
        <v>8</v>
      </c>
      <c r="C21" s="4">
        <f t="shared" ca="1" si="0"/>
        <v>1</v>
      </c>
      <c r="D21" s="4">
        <f t="shared" ca="1" si="1"/>
        <v>2</v>
      </c>
      <c r="E21" s="5">
        <f t="shared" ca="1" si="2"/>
        <v>45968</v>
      </c>
      <c r="F21" s="5">
        <f t="shared" ca="1" si="3"/>
        <v>45973</v>
      </c>
      <c r="G21" s="5">
        <f t="shared" ca="1" si="4"/>
        <v>45971</v>
      </c>
      <c r="H21" s="4"/>
      <c r="I21" s="4" t="str">
        <f t="shared" ca="1" si="5"/>
        <v>On Time</v>
      </c>
      <c r="J21" s="4" t="str">
        <f t="shared" ca="1" si="6"/>
        <v>(8, 1, 2, '2025-11-07', '2025-11-12', '2025-11-10', NULL, 'On Time'),</v>
      </c>
    </row>
    <row r="22" spans="1:10" x14ac:dyDescent="0.3">
      <c r="A22" s="4">
        <f t="shared" si="7"/>
        <v>21</v>
      </c>
      <c r="B22" s="4">
        <f t="shared" ca="1" si="0"/>
        <v>5</v>
      </c>
      <c r="C22" s="4">
        <f t="shared" ca="1" si="0"/>
        <v>10</v>
      </c>
      <c r="D22" s="4">
        <f t="shared" ca="1" si="1"/>
        <v>5</v>
      </c>
      <c r="E22" s="5">
        <f t="shared" ca="1" si="2"/>
        <v>45929</v>
      </c>
      <c r="F22" s="5">
        <f t="shared" ca="1" si="3"/>
        <v>45934</v>
      </c>
      <c r="G22" s="5">
        <f t="shared" ca="1" si="4"/>
        <v>45932</v>
      </c>
      <c r="H22" s="4"/>
      <c r="I22" s="4" t="str">
        <f t="shared" ca="1" si="5"/>
        <v>On Time</v>
      </c>
      <c r="J22" s="4" t="str">
        <f t="shared" ca="1" si="6"/>
        <v>(5, 10, 5, '2025-09-29', '2025-10-04', '2025-10-02', NULL, 'On Time'),</v>
      </c>
    </row>
    <row r="23" spans="1:10" x14ac:dyDescent="0.3">
      <c r="A23" s="4">
        <f t="shared" si="7"/>
        <v>22</v>
      </c>
      <c r="B23" s="4">
        <f t="shared" ca="1" si="0"/>
        <v>1</v>
      </c>
      <c r="C23" s="4">
        <f t="shared" ca="1" si="0"/>
        <v>9</v>
      </c>
      <c r="D23" s="4">
        <f t="shared" ca="1" si="1"/>
        <v>2</v>
      </c>
      <c r="E23" s="5">
        <f t="shared" ca="1" si="2"/>
        <v>45944</v>
      </c>
      <c r="F23" s="5">
        <f t="shared" ca="1" si="3"/>
        <v>45949</v>
      </c>
      <c r="G23" s="5">
        <f t="shared" ca="1" si="4"/>
        <v>45947</v>
      </c>
      <c r="H23" s="4"/>
      <c r="I23" s="4" t="str">
        <f t="shared" ca="1" si="5"/>
        <v>On Time</v>
      </c>
      <c r="J23" s="4" t="str">
        <f t="shared" ca="1" si="6"/>
        <v>(1, 9, 2, '2025-10-14', '2025-10-19', '2025-10-17', NULL, 'On Time'),</v>
      </c>
    </row>
    <row r="24" spans="1:10" x14ac:dyDescent="0.3">
      <c r="A24" s="4">
        <f t="shared" si="7"/>
        <v>23</v>
      </c>
      <c r="B24" s="4">
        <f t="shared" ca="1" si="0"/>
        <v>1</v>
      </c>
      <c r="C24" s="4">
        <f t="shared" ca="1" si="0"/>
        <v>5</v>
      </c>
      <c r="D24" s="4">
        <f t="shared" ca="1" si="1"/>
        <v>4</v>
      </c>
      <c r="E24" s="5">
        <f t="shared" ca="1" si="2"/>
        <v>45947</v>
      </c>
      <c r="F24" s="5">
        <f t="shared" ca="1" si="3"/>
        <v>45951</v>
      </c>
      <c r="G24" s="5">
        <f t="shared" ca="1" si="4"/>
        <v>45949</v>
      </c>
      <c r="H24" s="4"/>
      <c r="I24" s="4" t="str">
        <f t="shared" ca="1" si="5"/>
        <v>On Time</v>
      </c>
      <c r="J24" s="4" t="str">
        <f t="shared" ca="1" si="6"/>
        <v>(1, 5, 4, '2025-10-17', '2025-10-21', '2025-10-19', NULL, 'On Time'),</v>
      </c>
    </row>
    <row r="25" spans="1:10" x14ac:dyDescent="0.3">
      <c r="A25" s="4">
        <f t="shared" si="7"/>
        <v>24</v>
      </c>
      <c r="B25" s="4">
        <f t="shared" ca="1" si="0"/>
        <v>8</v>
      </c>
      <c r="C25" s="4">
        <f t="shared" ca="1" si="0"/>
        <v>1</v>
      </c>
      <c r="D25" s="4">
        <f t="shared" ca="1" si="1"/>
        <v>2</v>
      </c>
      <c r="E25" s="5">
        <f t="shared" ca="1" si="2"/>
        <v>45975</v>
      </c>
      <c r="F25" s="5">
        <f t="shared" ca="1" si="3"/>
        <v>45980</v>
      </c>
      <c r="G25" s="5">
        <f t="shared" ca="1" si="4"/>
        <v>45978</v>
      </c>
      <c r="H25" s="4"/>
      <c r="I25" s="4" t="str">
        <f t="shared" ca="1" si="5"/>
        <v>On Time</v>
      </c>
      <c r="J25" s="4" t="str">
        <f t="shared" ca="1" si="6"/>
        <v>(8, 1, 2, '2025-11-14', '2025-11-19', '2025-11-17', NULL, 'On Time'),</v>
      </c>
    </row>
    <row r="26" spans="1:10" x14ac:dyDescent="0.3">
      <c r="A26" s="4">
        <f t="shared" si="7"/>
        <v>25</v>
      </c>
      <c r="B26" s="4">
        <f t="shared" ca="1" si="0"/>
        <v>7</v>
      </c>
      <c r="C26" s="4">
        <f t="shared" ca="1" si="0"/>
        <v>8</v>
      </c>
      <c r="D26" s="4">
        <f t="shared" ca="1" si="1"/>
        <v>2</v>
      </c>
      <c r="E26" s="5">
        <f t="shared" ca="1" si="2"/>
        <v>46000</v>
      </c>
      <c r="F26" s="5">
        <f t="shared" ca="1" si="3"/>
        <v>46003</v>
      </c>
      <c r="G26" s="5">
        <f t="shared" ca="1" si="4"/>
        <v>46002</v>
      </c>
      <c r="H26" s="4"/>
      <c r="I26" s="4" t="str">
        <f t="shared" ca="1" si="5"/>
        <v>On Time</v>
      </c>
      <c r="J26" s="4" t="str">
        <f t="shared" ca="1" si="6"/>
        <v>(7, 8, 2, '2025-12-09', '2025-12-12', '2025-12-11', NULL, 'On Time'),</v>
      </c>
    </row>
    <row r="27" spans="1:10" x14ac:dyDescent="0.3">
      <c r="A27" s="4">
        <f t="shared" si="7"/>
        <v>26</v>
      </c>
      <c r="B27" s="4">
        <f t="shared" ca="1" si="0"/>
        <v>2</v>
      </c>
      <c r="C27" s="4">
        <f t="shared" ca="1" si="0"/>
        <v>6</v>
      </c>
      <c r="D27" s="4">
        <f t="shared" ca="1" si="1"/>
        <v>3</v>
      </c>
      <c r="E27" s="5">
        <f t="shared" ca="1" si="2"/>
        <v>45882</v>
      </c>
      <c r="F27" s="5">
        <f t="shared" ca="1" si="3"/>
        <v>45886</v>
      </c>
      <c r="G27" s="5">
        <f t="shared" ca="1" si="4"/>
        <v>45885</v>
      </c>
      <c r="H27" s="4"/>
      <c r="I27" s="4" t="str">
        <f t="shared" ca="1" si="5"/>
        <v>On Time</v>
      </c>
      <c r="J27" s="4" t="str">
        <f t="shared" ca="1" si="6"/>
        <v>(2, 6, 3, '2025-08-13', '2025-08-17', '2025-08-16', NULL, 'On Time'),</v>
      </c>
    </row>
    <row r="28" spans="1:10" x14ac:dyDescent="0.3">
      <c r="A28" s="4">
        <f t="shared" si="7"/>
        <v>27</v>
      </c>
      <c r="B28" s="4">
        <f t="shared" ca="1" si="0"/>
        <v>10</v>
      </c>
      <c r="C28" s="4">
        <f t="shared" ca="1" si="0"/>
        <v>10</v>
      </c>
      <c r="D28" s="4">
        <f t="shared" ca="1" si="1"/>
        <v>5</v>
      </c>
      <c r="E28" s="5">
        <f t="shared" ca="1" si="2"/>
        <v>45994</v>
      </c>
      <c r="F28" s="5">
        <f t="shared" ca="1" si="3"/>
        <v>45999</v>
      </c>
      <c r="G28" s="5">
        <f t="shared" ca="1" si="4"/>
        <v>45998</v>
      </c>
      <c r="H28" s="4"/>
      <c r="I28" s="4" t="str">
        <f t="shared" ca="1" si="5"/>
        <v>On Time</v>
      </c>
      <c r="J28" s="4" t="str">
        <f t="shared" ca="1" si="6"/>
        <v>(10, 10, 5, '2025-12-03', '2025-12-08', '2025-12-07', NULL, 'On Time'),</v>
      </c>
    </row>
    <row r="29" spans="1:10" x14ac:dyDescent="0.3">
      <c r="A29" s="4">
        <f t="shared" si="7"/>
        <v>28</v>
      </c>
      <c r="B29" s="4">
        <f t="shared" ca="1" si="0"/>
        <v>4</v>
      </c>
      <c r="C29" s="4">
        <f t="shared" ca="1" si="0"/>
        <v>5</v>
      </c>
      <c r="D29" s="4">
        <f t="shared" ca="1" si="1"/>
        <v>4</v>
      </c>
      <c r="E29" s="5">
        <f t="shared" ca="1" si="2"/>
        <v>45935</v>
      </c>
      <c r="F29" s="5">
        <f t="shared" ca="1" si="3"/>
        <v>45939</v>
      </c>
      <c r="G29" s="5">
        <f t="shared" ca="1" si="4"/>
        <v>45938</v>
      </c>
      <c r="H29" s="4"/>
      <c r="I29" s="4" t="str">
        <f t="shared" ca="1" si="5"/>
        <v>On Time</v>
      </c>
      <c r="J29" s="4" t="str">
        <f t="shared" ca="1" si="6"/>
        <v>(4, 5, 4, '2025-10-05', '2025-10-09', '2025-10-08', NULL, 'On Time'),</v>
      </c>
    </row>
    <row r="30" spans="1:10" x14ac:dyDescent="0.3">
      <c r="A30" s="4">
        <f t="shared" si="7"/>
        <v>29</v>
      </c>
      <c r="B30" s="4">
        <f t="shared" ca="1" si="0"/>
        <v>10</v>
      </c>
      <c r="C30" s="4">
        <f t="shared" ca="1" si="0"/>
        <v>9</v>
      </c>
      <c r="D30" s="4">
        <f t="shared" ca="1" si="1"/>
        <v>4</v>
      </c>
      <c r="E30" s="5">
        <f t="shared" ca="1" si="2"/>
        <v>46010</v>
      </c>
      <c r="F30" s="5">
        <f t="shared" ca="1" si="3"/>
        <v>46015</v>
      </c>
      <c r="G30" s="5">
        <f t="shared" ca="1" si="4"/>
        <v>46012</v>
      </c>
      <c r="H30" s="4"/>
      <c r="I30" s="4" t="str">
        <f t="shared" ca="1" si="5"/>
        <v>On Time</v>
      </c>
      <c r="J30" s="4" t="str">
        <f t="shared" ca="1" si="6"/>
        <v>(10, 9, 4, '2025-12-19', '2025-12-24', '2025-12-21', NULL, 'On Time'),</v>
      </c>
    </row>
    <row r="31" spans="1:10" x14ac:dyDescent="0.3">
      <c r="A31" s="4">
        <f t="shared" si="7"/>
        <v>30</v>
      </c>
      <c r="B31" s="4">
        <f t="shared" ca="1" si="0"/>
        <v>5</v>
      </c>
      <c r="C31" s="4">
        <f t="shared" ca="1" si="0"/>
        <v>10</v>
      </c>
      <c r="D31" s="4">
        <f t="shared" ca="1" si="1"/>
        <v>2</v>
      </c>
      <c r="E31" s="5">
        <f t="shared" ca="1" si="2"/>
        <v>45981</v>
      </c>
      <c r="F31" s="5">
        <f t="shared" ca="1" si="3"/>
        <v>45985</v>
      </c>
      <c r="G31" s="5">
        <f t="shared" ca="1" si="4"/>
        <v>45982</v>
      </c>
      <c r="H31" s="4"/>
      <c r="I31" s="4" t="str">
        <f t="shared" ca="1" si="5"/>
        <v>On Time</v>
      </c>
      <c r="J31" s="4" t="str">
        <f t="shared" ca="1" si="6"/>
        <v>(5, 10, 2, '2025-11-20', '2025-11-24', '2025-11-21', NULL, 'On Time'),</v>
      </c>
    </row>
    <row r="32" spans="1:10" x14ac:dyDescent="0.3">
      <c r="A32" s="4">
        <f t="shared" si="7"/>
        <v>31</v>
      </c>
      <c r="B32" s="4">
        <f t="shared" ca="1" si="0"/>
        <v>2</v>
      </c>
      <c r="C32" s="4">
        <f t="shared" ca="1" si="0"/>
        <v>1</v>
      </c>
      <c r="D32" s="4">
        <f t="shared" ca="1" si="1"/>
        <v>1</v>
      </c>
      <c r="E32" s="5">
        <f t="shared" ca="1" si="2"/>
        <v>45889</v>
      </c>
      <c r="F32" s="5">
        <f t="shared" ca="1" si="3"/>
        <v>45894</v>
      </c>
      <c r="G32" s="5">
        <f t="shared" ca="1" si="4"/>
        <v>45891</v>
      </c>
      <c r="H32" s="4"/>
      <c r="I32" s="4" t="str">
        <f t="shared" ca="1" si="5"/>
        <v>On Time</v>
      </c>
      <c r="J32" s="4" t="str">
        <f t="shared" ca="1" si="6"/>
        <v>(2, 1, 1, '2025-08-20', '2025-08-25', '2025-08-22', NULL, 'On Time'),</v>
      </c>
    </row>
    <row r="33" spans="1:10" x14ac:dyDescent="0.3">
      <c r="A33" s="4">
        <f t="shared" si="7"/>
        <v>32</v>
      </c>
      <c r="B33" s="4">
        <f t="shared" ca="1" si="0"/>
        <v>4</v>
      </c>
      <c r="C33" s="4">
        <f t="shared" ca="1" si="0"/>
        <v>1</v>
      </c>
      <c r="D33" s="4">
        <f t="shared" ca="1" si="1"/>
        <v>5</v>
      </c>
      <c r="E33" s="5">
        <f t="shared" ca="1" si="2"/>
        <v>45853</v>
      </c>
      <c r="F33" s="5">
        <f t="shared" ca="1" si="3"/>
        <v>45856</v>
      </c>
      <c r="G33" s="5">
        <f t="shared" ca="1" si="4"/>
        <v>45856</v>
      </c>
      <c r="H33" s="4"/>
      <c r="I33" s="4" t="str">
        <f t="shared" ca="1" si="5"/>
        <v>On Time</v>
      </c>
      <c r="J33" s="4" t="str">
        <f t="shared" ca="1" si="6"/>
        <v>(4, 1, 5, '2025-07-15', '2025-07-18', '2025-07-18', NULL, 'On Time'),</v>
      </c>
    </row>
    <row r="34" spans="1:10" x14ac:dyDescent="0.3">
      <c r="A34" s="4">
        <f t="shared" si="7"/>
        <v>33</v>
      </c>
      <c r="B34" s="4">
        <f t="shared" ca="1" si="0"/>
        <v>4</v>
      </c>
      <c r="C34" s="4">
        <f t="shared" ca="1" si="0"/>
        <v>9</v>
      </c>
      <c r="D34" s="4">
        <f t="shared" ca="1" si="1"/>
        <v>2</v>
      </c>
      <c r="E34" s="5">
        <f t="shared" ca="1" si="2"/>
        <v>45848</v>
      </c>
      <c r="F34" s="5">
        <f t="shared" ca="1" si="3"/>
        <v>45851</v>
      </c>
      <c r="G34" s="5">
        <f t="shared" ca="1" si="4"/>
        <v>45850</v>
      </c>
      <c r="H34" s="4"/>
      <c r="I34" s="4" t="str">
        <f t="shared" ca="1" si="5"/>
        <v>On Time</v>
      </c>
      <c r="J34" s="4" t="str">
        <f t="shared" ca="1" si="6"/>
        <v>(4, 9, 2, '2025-07-10', '2025-07-13', '2025-07-12', NULL, 'On Time'),</v>
      </c>
    </row>
    <row r="35" spans="1:10" x14ac:dyDescent="0.3">
      <c r="A35" s="4">
        <f t="shared" si="7"/>
        <v>34</v>
      </c>
      <c r="B35" s="4">
        <f t="shared" ca="1" si="0"/>
        <v>9</v>
      </c>
      <c r="C35" s="4">
        <f t="shared" ca="1" si="0"/>
        <v>8</v>
      </c>
      <c r="D35" s="4">
        <f t="shared" ca="1" si="1"/>
        <v>4</v>
      </c>
      <c r="E35" s="5">
        <f t="shared" ca="1" si="2"/>
        <v>45891</v>
      </c>
      <c r="F35" s="5">
        <f t="shared" ca="1" si="3"/>
        <v>45895</v>
      </c>
      <c r="G35" s="5">
        <f t="shared" ca="1" si="4"/>
        <v>45894</v>
      </c>
      <c r="H35" s="4"/>
      <c r="I35" s="4" t="str">
        <f t="shared" ca="1" si="5"/>
        <v>On Time</v>
      </c>
      <c r="J35" s="4" t="str">
        <f t="shared" ca="1" si="6"/>
        <v>(9, 8, 4, '2025-08-22', '2025-08-26', '2025-08-25', NULL, 'On Time'),</v>
      </c>
    </row>
    <row r="36" spans="1:10" x14ac:dyDescent="0.3">
      <c r="A36" s="4">
        <f t="shared" si="7"/>
        <v>35</v>
      </c>
      <c r="B36" s="4">
        <f t="shared" ca="1" si="0"/>
        <v>5</v>
      </c>
      <c r="C36" s="4">
        <f t="shared" ca="1" si="0"/>
        <v>10</v>
      </c>
      <c r="D36" s="4">
        <f t="shared" ca="1" si="1"/>
        <v>3</v>
      </c>
      <c r="E36" s="5">
        <f t="shared" ca="1" si="2"/>
        <v>45863</v>
      </c>
      <c r="F36" s="5">
        <f t="shared" ca="1" si="3"/>
        <v>45866</v>
      </c>
      <c r="G36" s="5">
        <f t="shared" ca="1" si="4"/>
        <v>45866</v>
      </c>
      <c r="H36" s="4"/>
      <c r="I36" s="4" t="str">
        <f t="shared" ca="1" si="5"/>
        <v>On Time</v>
      </c>
      <c r="J36" s="4" t="str">
        <f t="shared" ca="1" si="6"/>
        <v>(5, 10, 3, '2025-07-25', '2025-07-28', '2025-07-28', NULL, 'On Time'),</v>
      </c>
    </row>
    <row r="37" spans="1:10" x14ac:dyDescent="0.3">
      <c r="A37" s="4">
        <f t="shared" si="7"/>
        <v>36</v>
      </c>
      <c r="B37" s="4">
        <f t="shared" ca="1" si="0"/>
        <v>9</v>
      </c>
      <c r="C37" s="4">
        <f t="shared" ca="1" si="0"/>
        <v>8</v>
      </c>
      <c r="D37" s="4">
        <f t="shared" ca="1" si="1"/>
        <v>1</v>
      </c>
      <c r="E37" s="5">
        <f t="shared" ca="1" si="2"/>
        <v>45962</v>
      </c>
      <c r="F37" s="5">
        <f t="shared" ca="1" si="3"/>
        <v>45966</v>
      </c>
      <c r="G37" s="5">
        <f t="shared" ca="1" si="4"/>
        <v>45966</v>
      </c>
      <c r="H37" s="4"/>
      <c r="I37" s="4" t="str">
        <f t="shared" ca="1" si="5"/>
        <v>On Time</v>
      </c>
      <c r="J37" s="4" t="str">
        <f t="shared" ca="1" si="6"/>
        <v>(9, 8, 1, '2025-11-01', '2025-11-05', '2025-11-05', NULL, 'On Time'),</v>
      </c>
    </row>
    <row r="38" spans="1:10" x14ac:dyDescent="0.3">
      <c r="A38" s="4">
        <f t="shared" si="7"/>
        <v>37</v>
      </c>
      <c r="B38" s="4">
        <f t="shared" ca="1" si="0"/>
        <v>9</v>
      </c>
      <c r="C38" s="4">
        <f t="shared" ca="1" si="0"/>
        <v>3</v>
      </c>
      <c r="D38" s="4">
        <f t="shared" ca="1" si="1"/>
        <v>5</v>
      </c>
      <c r="E38" s="5">
        <f t="shared" ca="1" si="2"/>
        <v>45936</v>
      </c>
      <c r="F38" s="5">
        <f t="shared" ca="1" si="3"/>
        <v>45939</v>
      </c>
      <c r="G38" s="5">
        <f t="shared" ca="1" si="4"/>
        <v>45938</v>
      </c>
      <c r="H38" s="4"/>
      <c r="I38" s="4" t="str">
        <f t="shared" ca="1" si="5"/>
        <v>On Time</v>
      </c>
      <c r="J38" s="4" t="str">
        <f t="shared" ca="1" si="6"/>
        <v>(9, 3, 5, '2025-10-06', '2025-10-09', '2025-10-08', NULL, 'On Time'),</v>
      </c>
    </row>
    <row r="39" spans="1:10" x14ac:dyDescent="0.3">
      <c r="A39" s="4">
        <f t="shared" si="7"/>
        <v>38</v>
      </c>
      <c r="B39" s="4">
        <f t="shared" ca="1" si="0"/>
        <v>2</v>
      </c>
      <c r="C39" s="4">
        <f t="shared" ca="1" si="0"/>
        <v>8</v>
      </c>
      <c r="D39" s="4">
        <f t="shared" ca="1" si="1"/>
        <v>1</v>
      </c>
      <c r="E39" s="5">
        <f t="shared" ca="1" si="2"/>
        <v>45952</v>
      </c>
      <c r="F39" s="5">
        <f t="shared" ca="1" si="3"/>
        <v>45957</v>
      </c>
      <c r="G39" s="5">
        <f t="shared" ca="1" si="4"/>
        <v>45956</v>
      </c>
      <c r="H39" s="4"/>
      <c r="I39" s="4" t="str">
        <f t="shared" ca="1" si="5"/>
        <v>On Time</v>
      </c>
      <c r="J39" s="4" t="str">
        <f t="shared" ca="1" si="6"/>
        <v>(2, 8, 1, '2025-10-22', '2025-10-27', '2025-10-26', NULL, 'On Time'),</v>
      </c>
    </row>
    <row r="40" spans="1:10" x14ac:dyDescent="0.3">
      <c r="A40" s="4">
        <f t="shared" si="7"/>
        <v>39</v>
      </c>
      <c r="B40" s="4">
        <f t="shared" ca="1" si="0"/>
        <v>8</v>
      </c>
      <c r="C40" s="4">
        <f t="shared" ca="1" si="0"/>
        <v>1</v>
      </c>
      <c r="D40" s="4">
        <f t="shared" ca="1" si="1"/>
        <v>2</v>
      </c>
      <c r="E40" s="5">
        <f t="shared" ca="1" si="2"/>
        <v>45996</v>
      </c>
      <c r="F40" s="5">
        <f t="shared" ca="1" si="3"/>
        <v>45999</v>
      </c>
      <c r="G40" s="5">
        <f t="shared" ca="1" si="4"/>
        <v>45998</v>
      </c>
      <c r="H40" s="4"/>
      <c r="I40" s="4" t="str">
        <f t="shared" ca="1" si="5"/>
        <v>On Time</v>
      </c>
      <c r="J40" s="4" t="str">
        <f t="shared" ca="1" si="6"/>
        <v>(8, 1, 2, '2025-12-05', '2025-12-08', '2025-12-07', NULL, 'On Time'),</v>
      </c>
    </row>
    <row r="41" spans="1:10" x14ac:dyDescent="0.3">
      <c r="A41" s="4">
        <f t="shared" si="7"/>
        <v>40</v>
      </c>
      <c r="B41" s="4">
        <f t="shared" ca="1" si="0"/>
        <v>3</v>
      </c>
      <c r="C41" s="4">
        <f t="shared" ca="1" si="0"/>
        <v>5</v>
      </c>
      <c r="D41" s="4">
        <f t="shared" ca="1" si="1"/>
        <v>5</v>
      </c>
      <c r="E41" s="5">
        <f t="shared" ca="1" si="2"/>
        <v>45846</v>
      </c>
      <c r="F41" s="5">
        <f t="shared" ca="1" si="3"/>
        <v>45850</v>
      </c>
      <c r="G41" s="5">
        <f t="shared" ca="1" si="4"/>
        <v>45848</v>
      </c>
      <c r="H41" s="4"/>
      <c r="I41" s="4" t="str">
        <f t="shared" ca="1" si="5"/>
        <v>On Time</v>
      </c>
      <c r="J41" s="4" t="str">
        <f t="shared" ca="1" si="6"/>
        <v>(3, 5, 5, '2025-07-08', '2025-07-12', '2025-07-10', NULL, 'On Time'),</v>
      </c>
    </row>
    <row r="42" spans="1:10" x14ac:dyDescent="0.3">
      <c r="A42" s="4">
        <f t="shared" si="7"/>
        <v>41</v>
      </c>
      <c r="B42" s="4">
        <f t="shared" ca="1" si="0"/>
        <v>5</v>
      </c>
      <c r="C42" s="4">
        <f t="shared" ca="1" si="0"/>
        <v>2</v>
      </c>
      <c r="D42" s="4">
        <f t="shared" ca="1" si="1"/>
        <v>3</v>
      </c>
      <c r="E42" s="5">
        <f t="shared" ca="1" si="2"/>
        <v>45909</v>
      </c>
      <c r="F42" s="5">
        <f t="shared" ca="1" si="3"/>
        <v>45914</v>
      </c>
      <c r="G42" s="5">
        <f t="shared" ca="1" si="4"/>
        <v>45913</v>
      </c>
      <c r="H42" s="4"/>
      <c r="I42" s="4" t="str">
        <f t="shared" ca="1" si="5"/>
        <v>On Time</v>
      </c>
      <c r="J42" s="4" t="str">
        <f t="shared" ca="1" si="6"/>
        <v>(5, 2, 3, '2025-09-09', '2025-09-14', '2025-09-13', NULL, 'On Time'),</v>
      </c>
    </row>
    <row r="43" spans="1:10" x14ac:dyDescent="0.3">
      <c r="A43" s="4">
        <f t="shared" si="7"/>
        <v>42</v>
      </c>
      <c r="B43" s="4">
        <f t="shared" ca="1" si="0"/>
        <v>3</v>
      </c>
      <c r="C43" s="4">
        <f t="shared" ca="1" si="0"/>
        <v>7</v>
      </c>
      <c r="D43" s="4">
        <f t="shared" ca="1" si="1"/>
        <v>5</v>
      </c>
      <c r="E43" s="5">
        <f t="shared" ca="1" si="2"/>
        <v>45924</v>
      </c>
      <c r="F43" s="5">
        <f t="shared" ca="1" si="3"/>
        <v>45929</v>
      </c>
      <c r="G43" s="5">
        <f t="shared" ca="1" si="4"/>
        <v>45927</v>
      </c>
      <c r="H43" s="4"/>
      <c r="I43" s="4" t="str">
        <f t="shared" ca="1" si="5"/>
        <v>On Time</v>
      </c>
      <c r="J43" s="4" t="str">
        <f t="shared" ca="1" si="6"/>
        <v>(3, 7, 5, '2025-09-24', '2025-09-29', '2025-09-27', NULL, 'On Time'),</v>
      </c>
    </row>
    <row r="44" spans="1:10" x14ac:dyDescent="0.3">
      <c r="A44" s="4">
        <f t="shared" si="7"/>
        <v>43</v>
      </c>
      <c r="B44" s="4">
        <f t="shared" ca="1" si="0"/>
        <v>3</v>
      </c>
      <c r="C44" s="4">
        <f t="shared" ca="1" si="0"/>
        <v>4</v>
      </c>
      <c r="D44" s="4">
        <f t="shared" ca="1" si="1"/>
        <v>1</v>
      </c>
      <c r="E44" s="5">
        <f t="shared" ca="1" si="2"/>
        <v>45979</v>
      </c>
      <c r="F44" s="5">
        <f t="shared" ca="1" si="3"/>
        <v>45982</v>
      </c>
      <c r="G44" s="5">
        <f t="shared" ca="1" si="4"/>
        <v>45981</v>
      </c>
      <c r="H44" s="4"/>
      <c r="I44" s="4" t="str">
        <f t="shared" ca="1" si="5"/>
        <v>On Time</v>
      </c>
      <c r="J44" s="4" t="str">
        <f t="shared" ca="1" si="6"/>
        <v>(3, 4, 1, '2025-11-18', '2025-11-21', '2025-11-20', NULL, 'On Time'),</v>
      </c>
    </row>
    <row r="45" spans="1:10" x14ac:dyDescent="0.3">
      <c r="A45" s="4">
        <f t="shared" si="7"/>
        <v>44</v>
      </c>
      <c r="B45" s="4">
        <f t="shared" ca="1" si="0"/>
        <v>6</v>
      </c>
      <c r="C45" s="4">
        <f t="shared" ca="1" si="0"/>
        <v>1</v>
      </c>
      <c r="D45" s="4">
        <f t="shared" ca="1" si="1"/>
        <v>4</v>
      </c>
      <c r="E45" s="5">
        <f t="shared" ca="1" si="2"/>
        <v>45910</v>
      </c>
      <c r="F45" s="5">
        <f t="shared" ca="1" si="3"/>
        <v>45913</v>
      </c>
      <c r="G45" s="5">
        <f t="shared" ca="1" si="4"/>
        <v>45911</v>
      </c>
      <c r="H45" s="4"/>
      <c r="I45" s="4" t="str">
        <f t="shared" ca="1" si="5"/>
        <v>On Time</v>
      </c>
      <c r="J45" s="4" t="str">
        <f t="shared" ca="1" si="6"/>
        <v>(6, 1, 4, '2025-09-10', '2025-09-13', '2025-09-11', NULL, 'On Time'),</v>
      </c>
    </row>
    <row r="46" spans="1:10" x14ac:dyDescent="0.3">
      <c r="A46" s="4">
        <f t="shared" si="7"/>
        <v>45</v>
      </c>
      <c r="B46" s="4">
        <f t="shared" ca="1" si="0"/>
        <v>1</v>
      </c>
      <c r="C46" s="4">
        <f t="shared" ca="1" si="0"/>
        <v>3</v>
      </c>
      <c r="D46" s="4">
        <f t="shared" ca="1" si="1"/>
        <v>5</v>
      </c>
      <c r="E46" s="5">
        <f t="shared" ca="1" si="2"/>
        <v>45910</v>
      </c>
      <c r="F46" s="5">
        <f t="shared" ca="1" si="3"/>
        <v>45915</v>
      </c>
      <c r="G46" s="5">
        <f t="shared" ca="1" si="4"/>
        <v>45912</v>
      </c>
      <c r="H46" s="4"/>
      <c r="I46" s="4" t="str">
        <f t="shared" ca="1" si="5"/>
        <v>On Time</v>
      </c>
      <c r="J46" s="4" t="str">
        <f t="shared" ca="1" si="6"/>
        <v>(1, 3, 5, '2025-09-10', '2025-09-15', '2025-09-12', NULL, 'On Time'),</v>
      </c>
    </row>
    <row r="47" spans="1:10" x14ac:dyDescent="0.3">
      <c r="A47" s="4">
        <f t="shared" si="7"/>
        <v>46</v>
      </c>
      <c r="B47" s="4">
        <f t="shared" ca="1" si="0"/>
        <v>6</v>
      </c>
      <c r="C47" s="4">
        <f t="shared" ca="1" si="0"/>
        <v>1</v>
      </c>
      <c r="D47" s="4">
        <f t="shared" ca="1" si="1"/>
        <v>2</v>
      </c>
      <c r="E47" s="5">
        <f t="shared" ca="1" si="2"/>
        <v>45974</v>
      </c>
      <c r="F47" s="5">
        <f t="shared" ca="1" si="3"/>
        <v>45978</v>
      </c>
      <c r="G47" s="5">
        <f t="shared" ca="1" si="4"/>
        <v>45977</v>
      </c>
      <c r="H47" s="4"/>
      <c r="I47" s="4" t="str">
        <f t="shared" ca="1" si="5"/>
        <v>On Time</v>
      </c>
      <c r="J47" s="4" t="str">
        <f t="shared" ca="1" si="6"/>
        <v>(6, 1, 2, '2025-11-13', '2025-11-17', '2025-11-16', NULL, 'On Time'),</v>
      </c>
    </row>
    <row r="48" spans="1:10" x14ac:dyDescent="0.3">
      <c r="A48" s="4">
        <f t="shared" si="7"/>
        <v>47</v>
      </c>
      <c r="B48" s="4">
        <f t="shared" ca="1" si="0"/>
        <v>4</v>
      </c>
      <c r="C48" s="4">
        <f t="shared" ca="1" si="0"/>
        <v>9</v>
      </c>
      <c r="D48" s="4">
        <f t="shared" ca="1" si="1"/>
        <v>1</v>
      </c>
      <c r="E48" s="5">
        <f t="shared" ca="1" si="2"/>
        <v>45987</v>
      </c>
      <c r="F48" s="5">
        <f t="shared" ca="1" si="3"/>
        <v>45990</v>
      </c>
      <c r="G48" s="5">
        <f t="shared" ca="1" si="4"/>
        <v>45989</v>
      </c>
      <c r="H48" s="4"/>
      <c r="I48" s="4" t="str">
        <f t="shared" ca="1" si="5"/>
        <v>On Time</v>
      </c>
      <c r="J48" s="4" t="str">
        <f t="shared" ca="1" si="6"/>
        <v>(4, 9, 1, '2025-11-26', '2025-11-29', '2025-11-28', NULL, 'On Time'),</v>
      </c>
    </row>
    <row r="49" spans="1:10" x14ac:dyDescent="0.3">
      <c r="A49" s="4">
        <f t="shared" si="7"/>
        <v>48</v>
      </c>
      <c r="B49" s="4">
        <f t="shared" ca="1" si="0"/>
        <v>2</v>
      </c>
      <c r="C49" s="4">
        <f t="shared" ca="1" si="0"/>
        <v>9</v>
      </c>
      <c r="D49" s="4">
        <f t="shared" ca="1" si="1"/>
        <v>1</v>
      </c>
      <c r="E49" s="5">
        <f t="shared" ca="1" si="2"/>
        <v>45856</v>
      </c>
      <c r="F49" s="5">
        <f t="shared" ca="1" si="3"/>
        <v>45861</v>
      </c>
      <c r="G49" s="5">
        <f t="shared" ca="1" si="4"/>
        <v>45859</v>
      </c>
      <c r="H49" s="4"/>
      <c r="I49" s="4" t="str">
        <f t="shared" ca="1" si="5"/>
        <v>On Time</v>
      </c>
      <c r="J49" s="4" t="str">
        <f t="shared" ca="1" si="6"/>
        <v>(2, 9, 1, '2025-07-18', '2025-07-23', '2025-07-21', NULL, 'On Time'),</v>
      </c>
    </row>
    <row r="50" spans="1:10" x14ac:dyDescent="0.3">
      <c r="A50" s="4">
        <f t="shared" si="7"/>
        <v>49</v>
      </c>
      <c r="B50" s="4">
        <f t="shared" ca="1" si="0"/>
        <v>3</v>
      </c>
      <c r="C50" s="4">
        <f t="shared" ca="1" si="0"/>
        <v>8</v>
      </c>
      <c r="D50" s="4">
        <f t="shared" ca="1" si="1"/>
        <v>3</v>
      </c>
      <c r="E50" s="5">
        <f t="shared" ca="1" si="2"/>
        <v>45942</v>
      </c>
      <c r="F50" s="5">
        <f t="shared" ca="1" si="3"/>
        <v>45946</v>
      </c>
      <c r="G50" s="5">
        <f t="shared" ca="1" si="4"/>
        <v>45943</v>
      </c>
      <c r="H50" s="4"/>
      <c r="I50" s="4" t="str">
        <f t="shared" ca="1" si="5"/>
        <v>On Time</v>
      </c>
      <c r="J50" s="4" t="str">
        <f t="shared" ca="1" si="6"/>
        <v>(3, 8, 3, '2025-10-12', '2025-10-16', '2025-10-13', NULL, 'On Time'),</v>
      </c>
    </row>
    <row r="51" spans="1:10" x14ac:dyDescent="0.3">
      <c r="A51" s="4">
        <f t="shared" si="7"/>
        <v>50</v>
      </c>
      <c r="B51" s="4">
        <f t="shared" ca="1" si="0"/>
        <v>6</v>
      </c>
      <c r="C51" s="4">
        <f t="shared" ca="1" si="0"/>
        <v>9</v>
      </c>
      <c r="D51" s="4">
        <f t="shared" ca="1" si="1"/>
        <v>1</v>
      </c>
      <c r="E51" s="5">
        <f t="shared" ca="1" si="2"/>
        <v>45889</v>
      </c>
      <c r="F51" s="5">
        <f t="shared" ca="1" si="3"/>
        <v>45893</v>
      </c>
      <c r="G51" s="5">
        <f t="shared" ca="1" si="4"/>
        <v>45892</v>
      </c>
      <c r="H51" s="4"/>
      <c r="I51" s="4" t="str">
        <f t="shared" ca="1" si="5"/>
        <v>On Time</v>
      </c>
      <c r="J51" s="4" t="str">
        <f t="shared" ca="1" si="6"/>
        <v>(6, 9, 1, '2025-08-20', '2025-08-24', '2025-08-23', NULL, 'On Time'),</v>
      </c>
    </row>
    <row r="52" spans="1:10" x14ac:dyDescent="0.3">
      <c r="A52" s="4">
        <f t="shared" si="7"/>
        <v>51</v>
      </c>
      <c r="B52" s="4">
        <f t="shared" ca="1" si="0"/>
        <v>5</v>
      </c>
      <c r="C52" s="4">
        <f t="shared" ca="1" si="0"/>
        <v>4</v>
      </c>
      <c r="D52" s="4">
        <f t="shared" ca="1" si="1"/>
        <v>4</v>
      </c>
      <c r="E52" s="5">
        <f t="shared" ca="1" si="2"/>
        <v>45991</v>
      </c>
      <c r="F52" s="5">
        <f t="shared" ca="1" si="3"/>
        <v>45994</v>
      </c>
      <c r="G52" s="5">
        <f t="shared" ca="1" si="4"/>
        <v>45991</v>
      </c>
      <c r="H52" s="4"/>
      <c r="I52" s="4" t="str">
        <f t="shared" ca="1" si="5"/>
        <v>On Time</v>
      </c>
      <c r="J52" s="4" t="str">
        <f t="shared" ca="1" si="6"/>
        <v>(5, 4, 4, '2025-11-30', '2025-12-03', '2025-11-30', NULL, 'On Time'),</v>
      </c>
    </row>
    <row r="53" spans="1:10" x14ac:dyDescent="0.3">
      <c r="A53" s="4">
        <f t="shared" si="7"/>
        <v>52</v>
      </c>
      <c r="B53" s="4">
        <f t="shared" ca="1" si="0"/>
        <v>8</v>
      </c>
      <c r="C53" s="4">
        <f t="shared" ca="1" si="0"/>
        <v>7</v>
      </c>
      <c r="D53" s="4">
        <f t="shared" ca="1" si="1"/>
        <v>4</v>
      </c>
      <c r="E53" s="5">
        <f t="shared" ca="1" si="2"/>
        <v>45857</v>
      </c>
      <c r="F53" s="5">
        <f t="shared" ca="1" si="3"/>
        <v>45860</v>
      </c>
      <c r="G53" s="5">
        <f t="shared" ca="1" si="4"/>
        <v>45859</v>
      </c>
      <c r="H53" s="4"/>
      <c r="I53" s="4" t="str">
        <f t="shared" ca="1" si="5"/>
        <v>On Time</v>
      </c>
      <c r="J53" s="4" t="str">
        <f t="shared" ca="1" si="6"/>
        <v>(8, 7, 4, '2025-07-19', '2025-07-22', '2025-07-21', NULL, 'On Time'),</v>
      </c>
    </row>
    <row r="54" spans="1:10" x14ac:dyDescent="0.3">
      <c r="A54" s="4">
        <f t="shared" si="7"/>
        <v>53</v>
      </c>
      <c r="B54" s="4">
        <f t="shared" ca="1" si="0"/>
        <v>9</v>
      </c>
      <c r="C54" s="4">
        <f t="shared" ca="1" si="0"/>
        <v>10</v>
      </c>
      <c r="D54" s="4">
        <f t="shared" ca="1" si="1"/>
        <v>5</v>
      </c>
      <c r="E54" s="5">
        <f t="shared" ca="1" si="2"/>
        <v>45940</v>
      </c>
      <c r="F54" s="5">
        <f t="shared" ca="1" si="3"/>
        <v>45945</v>
      </c>
      <c r="G54" s="5">
        <f t="shared" ca="1" si="4"/>
        <v>45943</v>
      </c>
      <c r="H54" s="4"/>
      <c r="I54" s="4" t="str">
        <f t="shared" ca="1" si="5"/>
        <v>On Time</v>
      </c>
      <c r="J54" s="4" t="str">
        <f t="shared" ca="1" si="6"/>
        <v>(9, 10, 5, '2025-10-10', '2025-10-15', '2025-10-13', NULL, 'On Time'),</v>
      </c>
    </row>
    <row r="55" spans="1:10" x14ac:dyDescent="0.3">
      <c r="A55" s="4">
        <f t="shared" si="7"/>
        <v>54</v>
      </c>
      <c r="B55" s="4">
        <f t="shared" ca="1" si="0"/>
        <v>10</v>
      </c>
      <c r="C55" s="4">
        <f t="shared" ca="1" si="0"/>
        <v>9</v>
      </c>
      <c r="D55" s="4">
        <f t="shared" ca="1" si="1"/>
        <v>4</v>
      </c>
      <c r="E55" s="5">
        <f t="shared" ca="1" si="2"/>
        <v>46000</v>
      </c>
      <c r="F55" s="5">
        <f t="shared" ca="1" si="3"/>
        <v>46003</v>
      </c>
      <c r="G55" s="5">
        <f t="shared" ca="1" si="4"/>
        <v>46002</v>
      </c>
      <c r="H55" s="4"/>
      <c r="I55" s="4" t="str">
        <f t="shared" ca="1" si="5"/>
        <v>On Time</v>
      </c>
      <c r="J55" s="4" t="str">
        <f t="shared" ca="1" si="6"/>
        <v>(10, 9, 4, '2025-12-09', '2025-12-12', '2025-12-11', NULL, 'On Time'),</v>
      </c>
    </row>
    <row r="56" spans="1:10" x14ac:dyDescent="0.3">
      <c r="A56" s="4">
        <f t="shared" si="7"/>
        <v>55</v>
      </c>
      <c r="B56" s="4">
        <f t="shared" ca="1" si="0"/>
        <v>2</v>
      </c>
      <c r="C56" s="4">
        <f t="shared" ca="1" si="0"/>
        <v>7</v>
      </c>
      <c r="D56" s="4">
        <f t="shared" ca="1" si="1"/>
        <v>4</v>
      </c>
      <c r="E56" s="5">
        <f t="shared" ca="1" si="2"/>
        <v>45930</v>
      </c>
      <c r="F56" s="5">
        <f t="shared" ca="1" si="3"/>
        <v>45935</v>
      </c>
      <c r="G56" s="5">
        <f t="shared" ca="1" si="4"/>
        <v>45935</v>
      </c>
      <c r="H56" s="4"/>
      <c r="I56" s="4" t="str">
        <f t="shared" ca="1" si="5"/>
        <v>On Time</v>
      </c>
      <c r="J56" s="4" t="str">
        <f t="shared" ca="1" si="6"/>
        <v>(2, 7, 4, '2025-09-30', '2025-10-05', '2025-10-05', NULL, 'On Time'),</v>
      </c>
    </row>
    <row r="57" spans="1:10" x14ac:dyDescent="0.3">
      <c r="A57" s="4">
        <f t="shared" si="7"/>
        <v>56</v>
      </c>
      <c r="B57" s="4">
        <f t="shared" ca="1" si="0"/>
        <v>3</v>
      </c>
      <c r="C57" s="4">
        <f t="shared" ca="1" si="0"/>
        <v>3</v>
      </c>
      <c r="D57" s="4">
        <f t="shared" ca="1" si="1"/>
        <v>2</v>
      </c>
      <c r="E57" s="5">
        <f t="shared" ca="1" si="2"/>
        <v>45887</v>
      </c>
      <c r="F57" s="5">
        <f t="shared" ca="1" si="3"/>
        <v>45890</v>
      </c>
      <c r="G57" s="5">
        <f t="shared" ca="1" si="4"/>
        <v>45888</v>
      </c>
      <c r="H57" s="4"/>
      <c r="I57" s="4" t="str">
        <f t="shared" ca="1" si="5"/>
        <v>On Time</v>
      </c>
      <c r="J57" s="4" t="str">
        <f t="shared" ca="1" si="6"/>
        <v>(3, 3, 2, '2025-08-18', '2025-08-21', '2025-08-19', NULL, 'On Time'),</v>
      </c>
    </row>
    <row r="58" spans="1:10" x14ac:dyDescent="0.3">
      <c r="A58" s="4">
        <f t="shared" si="7"/>
        <v>57</v>
      </c>
      <c r="B58" s="4">
        <f t="shared" ca="1" si="0"/>
        <v>2</v>
      </c>
      <c r="C58" s="4">
        <f t="shared" ca="1" si="0"/>
        <v>4</v>
      </c>
      <c r="D58" s="4">
        <f t="shared" ca="1" si="1"/>
        <v>5</v>
      </c>
      <c r="E58" s="5">
        <f t="shared" ca="1" si="2"/>
        <v>45956</v>
      </c>
      <c r="F58" s="5">
        <f t="shared" ca="1" si="3"/>
        <v>45959</v>
      </c>
      <c r="G58" s="5">
        <f t="shared" ca="1" si="4"/>
        <v>45958</v>
      </c>
      <c r="H58" s="4"/>
      <c r="I58" s="4" t="str">
        <f t="shared" ca="1" si="5"/>
        <v>On Time</v>
      </c>
      <c r="J58" s="4" t="str">
        <f t="shared" ca="1" si="6"/>
        <v>(2, 4, 5, '2025-10-26', '2025-10-29', '2025-10-28', NULL, 'On Time'),</v>
      </c>
    </row>
    <row r="59" spans="1:10" x14ac:dyDescent="0.3">
      <c r="A59" s="4">
        <f t="shared" si="7"/>
        <v>58</v>
      </c>
      <c r="B59" s="4">
        <f t="shared" ca="1" si="0"/>
        <v>9</v>
      </c>
      <c r="C59" s="4">
        <f t="shared" ca="1" si="0"/>
        <v>9</v>
      </c>
      <c r="D59" s="4">
        <f t="shared" ca="1" si="1"/>
        <v>2</v>
      </c>
      <c r="E59" s="5">
        <f t="shared" ca="1" si="2"/>
        <v>46010</v>
      </c>
      <c r="F59" s="5">
        <f t="shared" ca="1" si="3"/>
        <v>46013</v>
      </c>
      <c r="G59" s="5">
        <f t="shared" ca="1" si="4"/>
        <v>46012</v>
      </c>
      <c r="H59" s="4"/>
      <c r="I59" s="4" t="str">
        <f t="shared" ca="1" si="5"/>
        <v>On Time</v>
      </c>
      <c r="J59" s="4" t="str">
        <f t="shared" ca="1" si="6"/>
        <v>(9, 9, 2, '2025-12-19', '2025-12-22', '2025-12-21', NULL, 'On Time'),</v>
      </c>
    </row>
    <row r="60" spans="1:10" x14ac:dyDescent="0.3">
      <c r="A60" s="4">
        <f t="shared" si="7"/>
        <v>59</v>
      </c>
      <c r="B60" s="4">
        <f t="shared" ca="1" si="0"/>
        <v>10</v>
      </c>
      <c r="C60" s="4">
        <f t="shared" ca="1" si="0"/>
        <v>7</v>
      </c>
      <c r="D60" s="4">
        <f t="shared" ca="1" si="1"/>
        <v>1</v>
      </c>
      <c r="E60" s="5">
        <f t="shared" ca="1" si="2"/>
        <v>46010</v>
      </c>
      <c r="F60" s="5">
        <f t="shared" ca="1" si="3"/>
        <v>46013</v>
      </c>
      <c r="G60" s="5">
        <f t="shared" ca="1" si="4"/>
        <v>46013</v>
      </c>
      <c r="H60" s="4"/>
      <c r="I60" s="4" t="str">
        <f t="shared" ca="1" si="5"/>
        <v>On Time</v>
      </c>
      <c r="J60" s="4" t="str">
        <f t="shared" ca="1" si="6"/>
        <v>(10, 7, 1, '2025-12-19', '2025-12-22', '2025-12-22', NULL, 'On Time'),</v>
      </c>
    </row>
    <row r="61" spans="1:10" x14ac:dyDescent="0.3">
      <c r="A61" s="4">
        <f t="shared" si="7"/>
        <v>60</v>
      </c>
      <c r="B61" s="4">
        <f t="shared" ca="1" si="0"/>
        <v>6</v>
      </c>
      <c r="C61" s="4">
        <f t="shared" ca="1" si="0"/>
        <v>9</v>
      </c>
      <c r="D61" s="4">
        <f t="shared" ca="1" si="1"/>
        <v>2</v>
      </c>
      <c r="E61" s="5">
        <f t="shared" ca="1" si="2"/>
        <v>45964</v>
      </c>
      <c r="F61" s="5">
        <f t="shared" ca="1" si="3"/>
        <v>45968</v>
      </c>
      <c r="G61" s="5">
        <f t="shared" ca="1" si="4"/>
        <v>45967</v>
      </c>
      <c r="H61" s="4"/>
      <c r="I61" s="4" t="str">
        <f t="shared" ca="1" si="5"/>
        <v>On Time</v>
      </c>
      <c r="J61" s="4" t="str">
        <f t="shared" ca="1" si="6"/>
        <v>(6, 9, 2, '2025-11-03', '2025-11-07', '2025-11-06', NULL, 'On Time'),</v>
      </c>
    </row>
    <row r="62" spans="1:10" x14ac:dyDescent="0.3">
      <c r="A62" s="4">
        <f t="shared" si="7"/>
        <v>61</v>
      </c>
      <c r="B62" s="4">
        <f t="shared" ca="1" si="0"/>
        <v>2</v>
      </c>
      <c r="C62" s="4">
        <f t="shared" ca="1" si="0"/>
        <v>1</v>
      </c>
      <c r="D62" s="4">
        <f t="shared" ca="1" si="1"/>
        <v>1</v>
      </c>
      <c r="E62" s="5">
        <f t="shared" ca="1" si="2"/>
        <v>45958</v>
      </c>
      <c r="F62" s="5">
        <f t="shared" ca="1" si="3"/>
        <v>45963</v>
      </c>
      <c r="G62" s="5">
        <f t="shared" ca="1" si="4"/>
        <v>45963</v>
      </c>
      <c r="H62" s="4"/>
      <c r="I62" s="4" t="str">
        <f t="shared" ca="1" si="5"/>
        <v>On Time</v>
      </c>
      <c r="J62" s="4" t="str">
        <f t="shared" ca="1" si="6"/>
        <v>(2, 1, 1, '2025-10-28', '2025-11-02', '2025-11-02', NULL, 'On Time'),</v>
      </c>
    </row>
    <row r="63" spans="1:10" x14ac:dyDescent="0.3">
      <c r="A63" s="4">
        <f t="shared" si="7"/>
        <v>62</v>
      </c>
      <c r="B63" s="4">
        <f t="shared" ca="1" si="0"/>
        <v>5</v>
      </c>
      <c r="C63" s="4">
        <f t="shared" ca="1" si="0"/>
        <v>8</v>
      </c>
      <c r="D63" s="4">
        <f t="shared" ca="1" si="1"/>
        <v>5</v>
      </c>
      <c r="E63" s="5">
        <f t="shared" ca="1" si="2"/>
        <v>45889</v>
      </c>
      <c r="F63" s="5">
        <f t="shared" ca="1" si="3"/>
        <v>45893</v>
      </c>
      <c r="G63" s="5">
        <f t="shared" ca="1" si="4"/>
        <v>45893</v>
      </c>
      <c r="H63" s="4"/>
      <c r="I63" s="4" t="str">
        <f t="shared" ca="1" si="5"/>
        <v>On Time</v>
      </c>
      <c r="J63" s="4" t="str">
        <f t="shared" ca="1" si="6"/>
        <v>(5, 8, 5, '2025-08-20', '2025-08-24', '2025-08-24', NULL, 'On Time'),</v>
      </c>
    </row>
    <row r="64" spans="1:10" x14ac:dyDescent="0.3">
      <c r="A64" s="4">
        <f t="shared" si="7"/>
        <v>63</v>
      </c>
      <c r="B64" s="4">
        <f t="shared" ca="1" si="0"/>
        <v>10</v>
      </c>
      <c r="C64" s="4">
        <f t="shared" ca="1" si="0"/>
        <v>3</v>
      </c>
      <c r="D64" s="4">
        <f t="shared" ca="1" si="1"/>
        <v>3</v>
      </c>
      <c r="E64" s="5">
        <f t="shared" ca="1" si="2"/>
        <v>45871</v>
      </c>
      <c r="F64" s="5">
        <f t="shared" ca="1" si="3"/>
        <v>45875</v>
      </c>
      <c r="G64" s="5">
        <f t="shared" ca="1" si="4"/>
        <v>45875</v>
      </c>
      <c r="H64" s="4"/>
      <c r="I64" s="4" t="str">
        <f t="shared" ca="1" si="5"/>
        <v>On Time</v>
      </c>
      <c r="J64" s="4" t="str">
        <f t="shared" ca="1" si="6"/>
        <v>(10, 3, 3, '2025-08-02', '2025-08-06', '2025-08-06', NULL, 'On Time'),</v>
      </c>
    </row>
    <row r="65" spans="1:10" x14ac:dyDescent="0.3">
      <c r="A65" s="4">
        <f t="shared" si="7"/>
        <v>64</v>
      </c>
      <c r="B65" s="4">
        <f t="shared" ca="1" si="0"/>
        <v>7</v>
      </c>
      <c r="C65" s="4">
        <f t="shared" ca="1" si="0"/>
        <v>9</v>
      </c>
      <c r="D65" s="4">
        <f t="shared" ca="1" si="1"/>
        <v>1</v>
      </c>
      <c r="E65" s="5">
        <f t="shared" ca="1" si="2"/>
        <v>45912</v>
      </c>
      <c r="F65" s="5">
        <f t="shared" ca="1" si="3"/>
        <v>45916</v>
      </c>
      <c r="G65" s="5">
        <f t="shared" ca="1" si="4"/>
        <v>45913</v>
      </c>
      <c r="H65" s="4"/>
      <c r="I65" s="4" t="str">
        <f t="shared" ca="1" si="5"/>
        <v>On Time</v>
      </c>
      <c r="J65" s="4" t="str">
        <f t="shared" ca="1" si="6"/>
        <v>(7, 9, 1, '2025-09-12', '2025-09-16', '2025-09-13', NULL, 'On Time'),</v>
      </c>
    </row>
    <row r="66" spans="1:10" x14ac:dyDescent="0.3">
      <c r="A66" s="4">
        <f t="shared" si="7"/>
        <v>65</v>
      </c>
      <c r="B66" s="4">
        <f t="shared" ca="1" si="0"/>
        <v>1</v>
      </c>
      <c r="C66" s="4">
        <f t="shared" ca="1" si="0"/>
        <v>9</v>
      </c>
      <c r="D66" s="4">
        <f t="shared" ca="1" si="1"/>
        <v>2</v>
      </c>
      <c r="E66" s="5">
        <f t="shared" ca="1" si="2"/>
        <v>46007</v>
      </c>
      <c r="F66" s="5">
        <f t="shared" ca="1" si="3"/>
        <v>46010</v>
      </c>
      <c r="G66" s="5">
        <f t="shared" ca="1" si="4"/>
        <v>46010</v>
      </c>
      <c r="H66" s="4"/>
      <c r="I66" s="4" t="str">
        <f t="shared" ca="1" si="5"/>
        <v>On Time</v>
      </c>
      <c r="J66" s="4" t="str">
        <f t="shared" ca="1" si="6"/>
        <v>(1, 9, 2, '2025-12-16', '2025-12-19', '2025-12-19', NULL, 'On Time'),</v>
      </c>
    </row>
    <row r="67" spans="1:10" x14ac:dyDescent="0.3">
      <c r="A67" s="4">
        <f t="shared" si="7"/>
        <v>66</v>
      </c>
      <c r="B67" s="4">
        <f t="shared" ref="B67:C130" ca="1" si="8" xml:space="preserve"> RANDBETWEEN(1, 10)</f>
        <v>2</v>
      </c>
      <c r="C67" s="4">
        <f t="shared" ca="1" si="8"/>
        <v>8</v>
      </c>
      <c r="D67" s="4">
        <f t="shared" ref="D67:D130" ca="1" si="9" xml:space="preserve"> RANDBETWEEN(1, 5)</f>
        <v>3</v>
      </c>
      <c r="E67" s="5">
        <f t="shared" ref="E67:E130" ca="1" si="10" xml:space="preserve"> DATE(2025, 7, 1) + RANDBETWEEN(1, 183)</f>
        <v>45867</v>
      </c>
      <c r="F67" s="5">
        <f t="shared" ref="F67:F130" ca="1" si="11" xml:space="preserve"> E67 + RANDBETWEEN(3, 5)</f>
        <v>45872</v>
      </c>
      <c r="G67" s="5">
        <f t="shared" ref="G67:G130" ca="1" si="12" xml:space="preserve"> F67 - RANDBETWEEN(0, 3)</f>
        <v>45872</v>
      </c>
      <c r="H67" s="4"/>
      <c r="I67" s="4" t="str">
        <f t="shared" ref="I67:I130" ca="1" si="13" xml:space="preserve"> IF(G67 = "", "In Transit", IF(G67 &lt;= F67, "On Time", "Delayed"))</f>
        <v>On Time</v>
      </c>
      <c r="J67" s="4" t="str">
        <f t="shared" ref="J67:J130" ca="1" si="14">"("&amp;B67&amp;", "&amp;C67&amp;", "&amp;D67&amp;", "&amp;"'"&amp;TEXT(E67,"yyyy-mm-dd")&amp;"'"&amp;", "&amp;"'"&amp;TEXT(F67,"yyyy-mm-dd")&amp;"'"&amp;", "&amp;IF(G67="","NULL","'"&amp;TEXT(G67,"yyyy-mm-dd")&amp;"'")&amp;", "&amp;IF(H67="","NULL","'"&amp;H67&amp;"'")&amp;", "&amp;"'"&amp;I67&amp;"'"&amp;")"&amp;","</f>
        <v>(2, 8, 3, '2025-07-29', '2025-08-03', '2025-08-03', NULL, 'On Time'),</v>
      </c>
    </row>
    <row r="68" spans="1:10" x14ac:dyDescent="0.3">
      <c r="A68" s="4">
        <f t="shared" si="7"/>
        <v>67</v>
      </c>
      <c r="B68" s="4">
        <f t="shared" ca="1" si="8"/>
        <v>4</v>
      </c>
      <c r="C68" s="4">
        <f t="shared" ca="1" si="8"/>
        <v>9</v>
      </c>
      <c r="D68" s="4">
        <f t="shared" ca="1" si="9"/>
        <v>4</v>
      </c>
      <c r="E68" s="5">
        <f t="shared" ca="1" si="10"/>
        <v>45933</v>
      </c>
      <c r="F68" s="5">
        <f t="shared" ca="1" si="11"/>
        <v>45936</v>
      </c>
      <c r="G68" s="5">
        <f t="shared" ca="1" si="12"/>
        <v>45933</v>
      </c>
      <c r="H68" s="4"/>
      <c r="I68" s="4" t="str">
        <f t="shared" ca="1" si="13"/>
        <v>On Time</v>
      </c>
      <c r="J68" s="4" t="str">
        <f t="shared" ca="1" si="14"/>
        <v>(4, 9, 4, '2025-10-03', '2025-10-06', '2025-10-03', NULL, 'On Time'),</v>
      </c>
    </row>
    <row r="69" spans="1:10" x14ac:dyDescent="0.3">
      <c r="A69" s="4">
        <f t="shared" ref="A69:A132" si="15" xml:space="preserve"> A68 + 1</f>
        <v>68</v>
      </c>
      <c r="B69" s="4">
        <f t="shared" ca="1" si="8"/>
        <v>6</v>
      </c>
      <c r="C69" s="4">
        <f t="shared" ca="1" si="8"/>
        <v>9</v>
      </c>
      <c r="D69" s="4">
        <f t="shared" ca="1" si="9"/>
        <v>1</v>
      </c>
      <c r="E69" s="5">
        <f t="shared" ca="1" si="10"/>
        <v>45992</v>
      </c>
      <c r="F69" s="5">
        <f t="shared" ca="1" si="11"/>
        <v>45996</v>
      </c>
      <c r="G69" s="5">
        <f t="shared" ca="1" si="12"/>
        <v>45996</v>
      </c>
      <c r="H69" s="4"/>
      <c r="I69" s="4" t="str">
        <f t="shared" ca="1" si="13"/>
        <v>On Time</v>
      </c>
      <c r="J69" s="4" t="str">
        <f t="shared" ca="1" si="14"/>
        <v>(6, 9, 1, '2025-12-01', '2025-12-05', '2025-12-05', NULL, 'On Time'),</v>
      </c>
    </row>
    <row r="70" spans="1:10" x14ac:dyDescent="0.3">
      <c r="A70" s="4">
        <f t="shared" si="15"/>
        <v>69</v>
      </c>
      <c r="B70" s="4">
        <f t="shared" ca="1" si="8"/>
        <v>8</v>
      </c>
      <c r="C70" s="4">
        <f t="shared" ca="1" si="8"/>
        <v>10</v>
      </c>
      <c r="D70" s="4">
        <f t="shared" ca="1" si="9"/>
        <v>1</v>
      </c>
      <c r="E70" s="5">
        <f t="shared" ca="1" si="10"/>
        <v>45923</v>
      </c>
      <c r="F70" s="5">
        <f t="shared" ca="1" si="11"/>
        <v>45927</v>
      </c>
      <c r="G70" s="5">
        <f t="shared" ca="1" si="12"/>
        <v>45925</v>
      </c>
      <c r="H70" s="4"/>
      <c r="I70" s="4" t="str">
        <f t="shared" ca="1" si="13"/>
        <v>On Time</v>
      </c>
      <c r="J70" s="4" t="str">
        <f t="shared" ca="1" si="14"/>
        <v>(8, 10, 1, '2025-09-23', '2025-09-27', '2025-09-25', NULL, 'On Time'),</v>
      </c>
    </row>
    <row r="71" spans="1:10" x14ac:dyDescent="0.3">
      <c r="A71" s="4">
        <f t="shared" si="15"/>
        <v>70</v>
      </c>
      <c r="B71" s="4">
        <f t="shared" ca="1" si="8"/>
        <v>6</v>
      </c>
      <c r="C71" s="4">
        <f t="shared" ca="1" si="8"/>
        <v>6</v>
      </c>
      <c r="D71" s="4">
        <f t="shared" ca="1" si="9"/>
        <v>1</v>
      </c>
      <c r="E71" s="5">
        <f t="shared" ca="1" si="10"/>
        <v>46007</v>
      </c>
      <c r="F71" s="5">
        <f t="shared" ca="1" si="11"/>
        <v>46011</v>
      </c>
      <c r="G71" s="5">
        <f t="shared" ca="1" si="12"/>
        <v>46010</v>
      </c>
      <c r="H71" s="4"/>
      <c r="I71" s="4" t="str">
        <f t="shared" ca="1" si="13"/>
        <v>On Time</v>
      </c>
      <c r="J71" s="4" t="str">
        <f t="shared" ca="1" si="14"/>
        <v>(6, 6, 1, '2025-12-16', '2025-12-20', '2025-12-19', NULL, 'On Time'),</v>
      </c>
    </row>
    <row r="72" spans="1:10" x14ac:dyDescent="0.3">
      <c r="A72" s="4">
        <f t="shared" si="15"/>
        <v>71</v>
      </c>
      <c r="B72" s="4">
        <f t="shared" ca="1" si="8"/>
        <v>3</v>
      </c>
      <c r="C72" s="4">
        <f t="shared" ca="1" si="8"/>
        <v>4</v>
      </c>
      <c r="D72" s="4">
        <f t="shared" ca="1" si="9"/>
        <v>3</v>
      </c>
      <c r="E72" s="5">
        <f t="shared" ca="1" si="10"/>
        <v>45879</v>
      </c>
      <c r="F72" s="5">
        <f t="shared" ca="1" si="11"/>
        <v>45882</v>
      </c>
      <c r="G72" s="5">
        <f t="shared" ca="1" si="12"/>
        <v>45880</v>
      </c>
      <c r="H72" s="4"/>
      <c r="I72" s="4" t="str">
        <f t="shared" ca="1" si="13"/>
        <v>On Time</v>
      </c>
      <c r="J72" s="4" t="str">
        <f t="shared" ca="1" si="14"/>
        <v>(3, 4, 3, '2025-08-10', '2025-08-13', '2025-08-11', NULL, 'On Time'),</v>
      </c>
    </row>
    <row r="73" spans="1:10" x14ac:dyDescent="0.3">
      <c r="A73" s="4">
        <f t="shared" si="15"/>
        <v>72</v>
      </c>
      <c r="B73" s="4">
        <f t="shared" ca="1" si="8"/>
        <v>7</v>
      </c>
      <c r="C73" s="4">
        <f t="shared" ca="1" si="8"/>
        <v>5</v>
      </c>
      <c r="D73" s="4">
        <f t="shared" ca="1" si="9"/>
        <v>4</v>
      </c>
      <c r="E73" s="5">
        <f t="shared" ca="1" si="10"/>
        <v>45852</v>
      </c>
      <c r="F73" s="5">
        <f t="shared" ca="1" si="11"/>
        <v>45855</v>
      </c>
      <c r="G73" s="5">
        <f t="shared" ca="1" si="12"/>
        <v>45852</v>
      </c>
      <c r="H73" s="4"/>
      <c r="I73" s="4" t="str">
        <f t="shared" ca="1" si="13"/>
        <v>On Time</v>
      </c>
      <c r="J73" s="4" t="str">
        <f t="shared" ca="1" si="14"/>
        <v>(7, 5, 4, '2025-07-14', '2025-07-17', '2025-07-14', NULL, 'On Time'),</v>
      </c>
    </row>
    <row r="74" spans="1:10" x14ac:dyDescent="0.3">
      <c r="A74" s="4">
        <f t="shared" si="15"/>
        <v>73</v>
      </c>
      <c r="B74" s="4">
        <f t="shared" ca="1" si="8"/>
        <v>1</v>
      </c>
      <c r="C74" s="4">
        <f t="shared" ca="1" si="8"/>
        <v>4</v>
      </c>
      <c r="D74" s="4">
        <f t="shared" ca="1" si="9"/>
        <v>4</v>
      </c>
      <c r="E74" s="5">
        <f t="shared" ca="1" si="10"/>
        <v>45864</v>
      </c>
      <c r="F74" s="5">
        <f t="shared" ca="1" si="11"/>
        <v>45867</v>
      </c>
      <c r="G74" s="5">
        <f t="shared" ca="1" si="12"/>
        <v>45865</v>
      </c>
      <c r="H74" s="4"/>
      <c r="I74" s="4" t="str">
        <f t="shared" ca="1" si="13"/>
        <v>On Time</v>
      </c>
      <c r="J74" s="4" t="str">
        <f t="shared" ca="1" si="14"/>
        <v>(1, 4, 4, '2025-07-26', '2025-07-29', '2025-07-27', NULL, 'On Time'),</v>
      </c>
    </row>
    <row r="75" spans="1:10" x14ac:dyDescent="0.3">
      <c r="A75" s="4">
        <f t="shared" si="15"/>
        <v>74</v>
      </c>
      <c r="B75" s="4">
        <f t="shared" ca="1" si="8"/>
        <v>9</v>
      </c>
      <c r="C75" s="4">
        <f t="shared" ca="1" si="8"/>
        <v>3</v>
      </c>
      <c r="D75" s="4">
        <f t="shared" ca="1" si="9"/>
        <v>5</v>
      </c>
      <c r="E75" s="5">
        <f t="shared" ca="1" si="10"/>
        <v>45977</v>
      </c>
      <c r="F75" s="5">
        <f t="shared" ca="1" si="11"/>
        <v>45982</v>
      </c>
      <c r="G75" s="5">
        <f t="shared" ca="1" si="12"/>
        <v>45979</v>
      </c>
      <c r="H75" s="4"/>
      <c r="I75" s="4" t="str">
        <f t="shared" ca="1" si="13"/>
        <v>On Time</v>
      </c>
      <c r="J75" s="4" t="str">
        <f t="shared" ca="1" si="14"/>
        <v>(9, 3, 5, '2025-11-16', '2025-11-21', '2025-11-18', NULL, 'On Time'),</v>
      </c>
    </row>
    <row r="76" spans="1:10" x14ac:dyDescent="0.3">
      <c r="A76" s="4">
        <f t="shared" si="15"/>
        <v>75</v>
      </c>
      <c r="B76" s="4">
        <f t="shared" ca="1" si="8"/>
        <v>8</v>
      </c>
      <c r="C76" s="4">
        <f t="shared" ca="1" si="8"/>
        <v>2</v>
      </c>
      <c r="D76" s="4">
        <f t="shared" ca="1" si="9"/>
        <v>2</v>
      </c>
      <c r="E76" s="5">
        <f t="shared" ca="1" si="10"/>
        <v>46021</v>
      </c>
      <c r="F76" s="5">
        <f t="shared" ca="1" si="11"/>
        <v>46024</v>
      </c>
      <c r="G76" s="5">
        <f t="shared" ca="1" si="12"/>
        <v>46022</v>
      </c>
      <c r="H76" s="4"/>
      <c r="I76" s="4" t="str">
        <f t="shared" ca="1" si="13"/>
        <v>On Time</v>
      </c>
      <c r="J76" s="4" t="str">
        <f t="shared" ca="1" si="14"/>
        <v>(8, 2, 2, '2025-12-30', '2026-01-02', '2025-12-31', NULL, 'On Time'),</v>
      </c>
    </row>
    <row r="77" spans="1:10" x14ac:dyDescent="0.3">
      <c r="A77" s="4">
        <f t="shared" si="15"/>
        <v>76</v>
      </c>
      <c r="B77" s="4">
        <f t="shared" ca="1" si="8"/>
        <v>2</v>
      </c>
      <c r="C77" s="4">
        <f t="shared" ca="1" si="8"/>
        <v>8</v>
      </c>
      <c r="D77" s="4">
        <f t="shared" ca="1" si="9"/>
        <v>5</v>
      </c>
      <c r="E77" s="5">
        <f t="shared" ca="1" si="10"/>
        <v>45901</v>
      </c>
      <c r="F77" s="5">
        <f t="shared" ca="1" si="11"/>
        <v>45906</v>
      </c>
      <c r="G77" s="5">
        <f t="shared" ca="1" si="12"/>
        <v>45906</v>
      </c>
      <c r="H77" s="4"/>
      <c r="I77" s="4" t="str">
        <f t="shared" ca="1" si="13"/>
        <v>On Time</v>
      </c>
      <c r="J77" s="4" t="str">
        <f t="shared" ca="1" si="14"/>
        <v>(2, 8, 5, '2025-09-01', '2025-09-06', '2025-09-06', NULL, 'On Time'),</v>
      </c>
    </row>
    <row r="78" spans="1:10" x14ac:dyDescent="0.3">
      <c r="A78" s="4">
        <f t="shared" si="15"/>
        <v>77</v>
      </c>
      <c r="B78" s="4">
        <f t="shared" ca="1" si="8"/>
        <v>9</v>
      </c>
      <c r="C78" s="4">
        <f t="shared" ca="1" si="8"/>
        <v>6</v>
      </c>
      <c r="D78" s="4">
        <f t="shared" ca="1" si="9"/>
        <v>2</v>
      </c>
      <c r="E78" s="5">
        <f t="shared" ca="1" si="10"/>
        <v>45856</v>
      </c>
      <c r="F78" s="5">
        <f t="shared" ca="1" si="11"/>
        <v>45860</v>
      </c>
      <c r="G78" s="5">
        <f t="shared" ca="1" si="12"/>
        <v>45857</v>
      </c>
      <c r="H78" s="4"/>
      <c r="I78" s="4" t="str">
        <f t="shared" ca="1" si="13"/>
        <v>On Time</v>
      </c>
      <c r="J78" s="4" t="str">
        <f t="shared" ca="1" si="14"/>
        <v>(9, 6, 2, '2025-07-18', '2025-07-22', '2025-07-19', NULL, 'On Time'),</v>
      </c>
    </row>
    <row r="79" spans="1:10" x14ac:dyDescent="0.3">
      <c r="A79" s="4">
        <f t="shared" si="15"/>
        <v>78</v>
      </c>
      <c r="B79" s="4">
        <f t="shared" ca="1" si="8"/>
        <v>8</v>
      </c>
      <c r="C79" s="4">
        <f t="shared" ca="1" si="8"/>
        <v>3</v>
      </c>
      <c r="D79" s="4">
        <f t="shared" ca="1" si="9"/>
        <v>1</v>
      </c>
      <c r="E79" s="5">
        <f t="shared" ca="1" si="10"/>
        <v>45928</v>
      </c>
      <c r="F79" s="5">
        <f t="shared" ca="1" si="11"/>
        <v>45931</v>
      </c>
      <c r="G79" s="5">
        <f t="shared" ca="1" si="12"/>
        <v>45929</v>
      </c>
      <c r="H79" s="4"/>
      <c r="I79" s="4" t="str">
        <f t="shared" ca="1" si="13"/>
        <v>On Time</v>
      </c>
      <c r="J79" s="4" t="str">
        <f t="shared" ca="1" si="14"/>
        <v>(8, 3, 1, '2025-09-28', '2025-10-01', '2025-09-29', NULL, 'On Time'),</v>
      </c>
    </row>
    <row r="80" spans="1:10" x14ac:dyDescent="0.3">
      <c r="A80" s="4">
        <f t="shared" si="15"/>
        <v>79</v>
      </c>
      <c r="B80" s="4">
        <f t="shared" ca="1" si="8"/>
        <v>1</v>
      </c>
      <c r="C80" s="4">
        <f t="shared" ca="1" si="8"/>
        <v>6</v>
      </c>
      <c r="D80" s="4">
        <f t="shared" ca="1" si="9"/>
        <v>2</v>
      </c>
      <c r="E80" s="5">
        <f t="shared" ca="1" si="10"/>
        <v>45889</v>
      </c>
      <c r="F80" s="5">
        <f t="shared" ca="1" si="11"/>
        <v>45894</v>
      </c>
      <c r="G80" s="5">
        <f t="shared" ca="1" si="12"/>
        <v>45893</v>
      </c>
      <c r="H80" s="4"/>
      <c r="I80" s="4" t="str">
        <f t="shared" ca="1" si="13"/>
        <v>On Time</v>
      </c>
      <c r="J80" s="4" t="str">
        <f t="shared" ca="1" si="14"/>
        <v>(1, 6, 2, '2025-08-20', '2025-08-25', '2025-08-24', NULL, 'On Time'),</v>
      </c>
    </row>
    <row r="81" spans="1:10" x14ac:dyDescent="0.3">
      <c r="A81" s="4">
        <f t="shared" si="15"/>
        <v>80</v>
      </c>
      <c r="B81" s="4">
        <f t="shared" ca="1" si="8"/>
        <v>7</v>
      </c>
      <c r="C81" s="4">
        <f t="shared" ca="1" si="8"/>
        <v>5</v>
      </c>
      <c r="D81" s="4">
        <f t="shared" ca="1" si="9"/>
        <v>2</v>
      </c>
      <c r="E81" s="5">
        <f t="shared" ca="1" si="10"/>
        <v>45847</v>
      </c>
      <c r="F81" s="5">
        <f t="shared" ca="1" si="11"/>
        <v>45850</v>
      </c>
      <c r="G81" s="5">
        <f t="shared" ca="1" si="12"/>
        <v>45848</v>
      </c>
      <c r="H81" s="4"/>
      <c r="I81" s="4" t="str">
        <f t="shared" ca="1" si="13"/>
        <v>On Time</v>
      </c>
      <c r="J81" s="4" t="str">
        <f t="shared" ca="1" si="14"/>
        <v>(7, 5, 2, '2025-07-09', '2025-07-12', '2025-07-10', NULL, 'On Time'),</v>
      </c>
    </row>
    <row r="82" spans="1:10" x14ac:dyDescent="0.3">
      <c r="A82" s="4">
        <f t="shared" si="15"/>
        <v>81</v>
      </c>
      <c r="B82" s="4">
        <f t="shared" ca="1" si="8"/>
        <v>5</v>
      </c>
      <c r="C82" s="4">
        <f t="shared" ca="1" si="8"/>
        <v>3</v>
      </c>
      <c r="D82" s="4">
        <f t="shared" ca="1" si="9"/>
        <v>4</v>
      </c>
      <c r="E82" s="5">
        <f t="shared" ca="1" si="10"/>
        <v>45856</v>
      </c>
      <c r="F82" s="5">
        <f t="shared" ca="1" si="11"/>
        <v>45859</v>
      </c>
      <c r="G82" s="5">
        <f t="shared" ca="1" si="12"/>
        <v>45859</v>
      </c>
      <c r="H82" s="4"/>
      <c r="I82" s="4" t="str">
        <f t="shared" ca="1" si="13"/>
        <v>On Time</v>
      </c>
      <c r="J82" s="4" t="str">
        <f t="shared" ca="1" si="14"/>
        <v>(5, 3, 4, '2025-07-18', '2025-07-21', '2025-07-21', NULL, 'On Time'),</v>
      </c>
    </row>
    <row r="83" spans="1:10" x14ac:dyDescent="0.3">
      <c r="A83" s="4">
        <f t="shared" si="15"/>
        <v>82</v>
      </c>
      <c r="B83" s="4">
        <f t="shared" ca="1" si="8"/>
        <v>10</v>
      </c>
      <c r="C83" s="4">
        <f t="shared" ca="1" si="8"/>
        <v>6</v>
      </c>
      <c r="D83" s="4">
        <f t="shared" ca="1" si="9"/>
        <v>5</v>
      </c>
      <c r="E83" s="5">
        <f t="shared" ca="1" si="10"/>
        <v>45993</v>
      </c>
      <c r="F83" s="5">
        <f t="shared" ca="1" si="11"/>
        <v>45997</v>
      </c>
      <c r="G83" s="5">
        <f t="shared" ca="1" si="12"/>
        <v>45997</v>
      </c>
      <c r="H83" s="4"/>
      <c r="I83" s="4" t="str">
        <f t="shared" ca="1" si="13"/>
        <v>On Time</v>
      </c>
      <c r="J83" s="4" t="str">
        <f t="shared" ca="1" si="14"/>
        <v>(10, 6, 5, '2025-12-02', '2025-12-06', '2025-12-06', NULL, 'On Time'),</v>
      </c>
    </row>
    <row r="84" spans="1:10" x14ac:dyDescent="0.3">
      <c r="A84" s="4">
        <f t="shared" si="15"/>
        <v>83</v>
      </c>
      <c r="B84" s="4">
        <f t="shared" ca="1" si="8"/>
        <v>7</v>
      </c>
      <c r="C84" s="4">
        <f t="shared" ca="1" si="8"/>
        <v>3</v>
      </c>
      <c r="D84" s="4">
        <f t="shared" ca="1" si="9"/>
        <v>4</v>
      </c>
      <c r="E84" s="5">
        <f t="shared" ca="1" si="10"/>
        <v>45982</v>
      </c>
      <c r="F84" s="5">
        <f t="shared" ca="1" si="11"/>
        <v>45985</v>
      </c>
      <c r="G84" s="5">
        <f t="shared" ca="1" si="12"/>
        <v>45984</v>
      </c>
      <c r="H84" s="4"/>
      <c r="I84" s="4" t="str">
        <f t="shared" ca="1" si="13"/>
        <v>On Time</v>
      </c>
      <c r="J84" s="4" t="str">
        <f t="shared" ca="1" si="14"/>
        <v>(7, 3, 4, '2025-11-21', '2025-11-24', '2025-11-23', NULL, 'On Time'),</v>
      </c>
    </row>
    <row r="85" spans="1:10" x14ac:dyDescent="0.3">
      <c r="A85" s="4">
        <f t="shared" si="15"/>
        <v>84</v>
      </c>
      <c r="B85" s="4">
        <f t="shared" ca="1" si="8"/>
        <v>1</v>
      </c>
      <c r="C85" s="4">
        <f t="shared" ca="1" si="8"/>
        <v>6</v>
      </c>
      <c r="D85" s="4">
        <f t="shared" ca="1" si="9"/>
        <v>2</v>
      </c>
      <c r="E85" s="5">
        <f t="shared" ca="1" si="10"/>
        <v>45859</v>
      </c>
      <c r="F85" s="5">
        <f t="shared" ca="1" si="11"/>
        <v>45864</v>
      </c>
      <c r="G85" s="5">
        <f t="shared" ca="1" si="12"/>
        <v>45861</v>
      </c>
      <c r="H85" s="4"/>
      <c r="I85" s="4" t="str">
        <f t="shared" ca="1" si="13"/>
        <v>On Time</v>
      </c>
      <c r="J85" s="4" t="str">
        <f t="shared" ca="1" si="14"/>
        <v>(1, 6, 2, '2025-07-21', '2025-07-26', '2025-07-23', NULL, 'On Time'),</v>
      </c>
    </row>
    <row r="86" spans="1:10" x14ac:dyDescent="0.3">
      <c r="A86" s="4">
        <f t="shared" si="15"/>
        <v>85</v>
      </c>
      <c r="B86" s="4">
        <f t="shared" ca="1" si="8"/>
        <v>1</v>
      </c>
      <c r="C86" s="4">
        <f t="shared" ca="1" si="8"/>
        <v>10</v>
      </c>
      <c r="D86" s="4">
        <f t="shared" ca="1" si="9"/>
        <v>5</v>
      </c>
      <c r="E86" s="5">
        <f t="shared" ca="1" si="10"/>
        <v>45998</v>
      </c>
      <c r="F86" s="5">
        <f t="shared" ca="1" si="11"/>
        <v>46003</v>
      </c>
      <c r="G86" s="5">
        <f t="shared" ca="1" si="12"/>
        <v>46002</v>
      </c>
      <c r="H86" s="4"/>
      <c r="I86" s="4" t="str">
        <f t="shared" ca="1" si="13"/>
        <v>On Time</v>
      </c>
      <c r="J86" s="4" t="str">
        <f t="shared" ca="1" si="14"/>
        <v>(1, 10, 5, '2025-12-07', '2025-12-12', '2025-12-11', NULL, 'On Time'),</v>
      </c>
    </row>
    <row r="87" spans="1:10" x14ac:dyDescent="0.3">
      <c r="A87" s="4">
        <f t="shared" si="15"/>
        <v>86</v>
      </c>
      <c r="B87" s="4">
        <f t="shared" ca="1" si="8"/>
        <v>6</v>
      </c>
      <c r="C87" s="4">
        <f t="shared" ca="1" si="8"/>
        <v>5</v>
      </c>
      <c r="D87" s="4">
        <f t="shared" ca="1" si="9"/>
        <v>1</v>
      </c>
      <c r="E87" s="5">
        <f t="shared" ca="1" si="10"/>
        <v>45943</v>
      </c>
      <c r="F87" s="5">
        <f t="shared" ca="1" si="11"/>
        <v>45946</v>
      </c>
      <c r="G87" s="5">
        <f t="shared" ca="1" si="12"/>
        <v>45943</v>
      </c>
      <c r="H87" s="4"/>
      <c r="I87" s="4" t="str">
        <f t="shared" ca="1" si="13"/>
        <v>On Time</v>
      </c>
      <c r="J87" s="4" t="str">
        <f t="shared" ca="1" si="14"/>
        <v>(6, 5, 1, '2025-10-13', '2025-10-16', '2025-10-13', NULL, 'On Time'),</v>
      </c>
    </row>
    <row r="88" spans="1:10" x14ac:dyDescent="0.3">
      <c r="A88" s="4">
        <f t="shared" si="15"/>
        <v>87</v>
      </c>
      <c r="B88" s="4">
        <f t="shared" ca="1" si="8"/>
        <v>9</v>
      </c>
      <c r="C88" s="4">
        <f t="shared" ca="1" si="8"/>
        <v>3</v>
      </c>
      <c r="D88" s="4">
        <f t="shared" ca="1" si="9"/>
        <v>1</v>
      </c>
      <c r="E88" s="5">
        <f t="shared" ca="1" si="10"/>
        <v>45860</v>
      </c>
      <c r="F88" s="5">
        <f t="shared" ca="1" si="11"/>
        <v>45864</v>
      </c>
      <c r="G88" s="5">
        <f t="shared" ca="1" si="12"/>
        <v>45864</v>
      </c>
      <c r="H88" s="4"/>
      <c r="I88" s="4" t="str">
        <f t="shared" ca="1" si="13"/>
        <v>On Time</v>
      </c>
      <c r="J88" s="4" t="str">
        <f t="shared" ca="1" si="14"/>
        <v>(9, 3, 1, '2025-07-22', '2025-07-26', '2025-07-26', NULL, 'On Time'),</v>
      </c>
    </row>
    <row r="89" spans="1:10" x14ac:dyDescent="0.3">
      <c r="A89" s="4">
        <f t="shared" si="15"/>
        <v>88</v>
      </c>
      <c r="B89" s="4">
        <f t="shared" ca="1" si="8"/>
        <v>7</v>
      </c>
      <c r="C89" s="4">
        <f t="shared" ca="1" si="8"/>
        <v>5</v>
      </c>
      <c r="D89" s="4">
        <f t="shared" ca="1" si="9"/>
        <v>2</v>
      </c>
      <c r="E89" s="5">
        <f t="shared" ca="1" si="10"/>
        <v>45869</v>
      </c>
      <c r="F89" s="5">
        <f t="shared" ca="1" si="11"/>
        <v>45873</v>
      </c>
      <c r="G89" s="5">
        <f t="shared" ca="1" si="12"/>
        <v>45871</v>
      </c>
      <c r="H89" s="4"/>
      <c r="I89" s="4" t="str">
        <f t="shared" ca="1" si="13"/>
        <v>On Time</v>
      </c>
      <c r="J89" s="4" t="str">
        <f t="shared" ca="1" si="14"/>
        <v>(7, 5, 2, '2025-07-31', '2025-08-04', '2025-08-02', NULL, 'On Time'),</v>
      </c>
    </row>
    <row r="90" spans="1:10" x14ac:dyDescent="0.3">
      <c r="A90" s="4">
        <f t="shared" si="15"/>
        <v>89</v>
      </c>
      <c r="B90" s="4">
        <f t="shared" ca="1" si="8"/>
        <v>4</v>
      </c>
      <c r="C90" s="4">
        <f t="shared" ca="1" si="8"/>
        <v>5</v>
      </c>
      <c r="D90" s="4">
        <f t="shared" ca="1" si="9"/>
        <v>3</v>
      </c>
      <c r="E90" s="5">
        <f t="shared" ca="1" si="10"/>
        <v>45851</v>
      </c>
      <c r="F90" s="5">
        <f t="shared" ca="1" si="11"/>
        <v>45856</v>
      </c>
      <c r="G90" s="5">
        <f t="shared" ca="1" si="12"/>
        <v>45856</v>
      </c>
      <c r="H90" s="4"/>
      <c r="I90" s="4" t="str">
        <f t="shared" ca="1" si="13"/>
        <v>On Time</v>
      </c>
      <c r="J90" s="4" t="str">
        <f t="shared" ca="1" si="14"/>
        <v>(4, 5, 3, '2025-07-13', '2025-07-18', '2025-07-18', NULL, 'On Time'),</v>
      </c>
    </row>
    <row r="91" spans="1:10" x14ac:dyDescent="0.3">
      <c r="A91" s="4">
        <f t="shared" si="15"/>
        <v>90</v>
      </c>
      <c r="B91" s="4">
        <f t="shared" ca="1" si="8"/>
        <v>9</v>
      </c>
      <c r="C91" s="4">
        <f t="shared" ca="1" si="8"/>
        <v>6</v>
      </c>
      <c r="D91" s="4">
        <f t="shared" ca="1" si="9"/>
        <v>3</v>
      </c>
      <c r="E91" s="5">
        <f t="shared" ca="1" si="10"/>
        <v>45981</v>
      </c>
      <c r="F91" s="5">
        <f t="shared" ca="1" si="11"/>
        <v>45985</v>
      </c>
      <c r="G91" s="5">
        <f t="shared" ca="1" si="12"/>
        <v>45985</v>
      </c>
      <c r="H91" s="4"/>
      <c r="I91" s="4" t="str">
        <f t="shared" ca="1" si="13"/>
        <v>On Time</v>
      </c>
      <c r="J91" s="4" t="str">
        <f t="shared" ca="1" si="14"/>
        <v>(9, 6, 3, '2025-11-20', '2025-11-24', '2025-11-24', NULL, 'On Time'),</v>
      </c>
    </row>
    <row r="92" spans="1:10" x14ac:dyDescent="0.3">
      <c r="A92" s="4">
        <f t="shared" si="15"/>
        <v>91</v>
      </c>
      <c r="B92" s="4">
        <f t="shared" ca="1" si="8"/>
        <v>1</v>
      </c>
      <c r="C92" s="4">
        <f t="shared" ca="1" si="8"/>
        <v>4</v>
      </c>
      <c r="D92" s="4">
        <f t="shared" ca="1" si="9"/>
        <v>4</v>
      </c>
      <c r="E92" s="5">
        <f t="shared" ca="1" si="10"/>
        <v>45904</v>
      </c>
      <c r="F92" s="5">
        <f t="shared" ca="1" si="11"/>
        <v>45908</v>
      </c>
      <c r="G92" s="5">
        <f t="shared" ca="1" si="12"/>
        <v>45905</v>
      </c>
      <c r="H92" s="4"/>
      <c r="I92" s="4" t="str">
        <f t="shared" ca="1" si="13"/>
        <v>On Time</v>
      </c>
      <c r="J92" s="4" t="str">
        <f t="shared" ca="1" si="14"/>
        <v>(1, 4, 4, '2025-09-04', '2025-09-08', '2025-09-05', NULL, 'On Time'),</v>
      </c>
    </row>
    <row r="93" spans="1:10" x14ac:dyDescent="0.3">
      <c r="A93" s="4">
        <f t="shared" si="15"/>
        <v>92</v>
      </c>
      <c r="B93" s="4">
        <f t="shared" ca="1" si="8"/>
        <v>1</v>
      </c>
      <c r="C93" s="4">
        <f t="shared" ca="1" si="8"/>
        <v>6</v>
      </c>
      <c r="D93" s="4">
        <f t="shared" ca="1" si="9"/>
        <v>1</v>
      </c>
      <c r="E93" s="5">
        <f t="shared" ca="1" si="10"/>
        <v>45895</v>
      </c>
      <c r="F93" s="5">
        <f t="shared" ca="1" si="11"/>
        <v>45899</v>
      </c>
      <c r="G93" s="5">
        <f t="shared" ca="1" si="12"/>
        <v>45896</v>
      </c>
      <c r="H93" s="4"/>
      <c r="I93" s="4" t="str">
        <f t="shared" ca="1" si="13"/>
        <v>On Time</v>
      </c>
      <c r="J93" s="4" t="str">
        <f t="shared" ca="1" si="14"/>
        <v>(1, 6, 1, '2025-08-26', '2025-08-30', '2025-08-27', NULL, 'On Time'),</v>
      </c>
    </row>
    <row r="94" spans="1:10" x14ac:dyDescent="0.3">
      <c r="A94" s="4">
        <f t="shared" si="15"/>
        <v>93</v>
      </c>
      <c r="B94" s="4">
        <f t="shared" ca="1" si="8"/>
        <v>10</v>
      </c>
      <c r="C94" s="4">
        <f t="shared" ca="1" si="8"/>
        <v>5</v>
      </c>
      <c r="D94" s="4">
        <f t="shared" ca="1" si="9"/>
        <v>2</v>
      </c>
      <c r="E94" s="5">
        <f t="shared" ca="1" si="10"/>
        <v>45911</v>
      </c>
      <c r="F94" s="5">
        <f t="shared" ca="1" si="11"/>
        <v>45916</v>
      </c>
      <c r="G94" s="5">
        <f t="shared" ca="1" si="12"/>
        <v>45915</v>
      </c>
      <c r="H94" s="4"/>
      <c r="I94" s="4" t="str">
        <f t="shared" ca="1" si="13"/>
        <v>On Time</v>
      </c>
      <c r="J94" s="4" t="str">
        <f t="shared" ca="1" si="14"/>
        <v>(10, 5, 2, '2025-09-11', '2025-09-16', '2025-09-15', NULL, 'On Time'),</v>
      </c>
    </row>
    <row r="95" spans="1:10" x14ac:dyDescent="0.3">
      <c r="A95" s="4">
        <f t="shared" si="15"/>
        <v>94</v>
      </c>
      <c r="B95" s="4">
        <f t="shared" ca="1" si="8"/>
        <v>3</v>
      </c>
      <c r="C95" s="4">
        <f t="shared" ca="1" si="8"/>
        <v>7</v>
      </c>
      <c r="D95" s="4">
        <f t="shared" ca="1" si="9"/>
        <v>2</v>
      </c>
      <c r="E95" s="5">
        <f t="shared" ca="1" si="10"/>
        <v>45846</v>
      </c>
      <c r="F95" s="5">
        <f t="shared" ca="1" si="11"/>
        <v>45851</v>
      </c>
      <c r="G95" s="5">
        <f t="shared" ca="1" si="12"/>
        <v>45850</v>
      </c>
      <c r="H95" s="4"/>
      <c r="I95" s="4" t="str">
        <f t="shared" ca="1" si="13"/>
        <v>On Time</v>
      </c>
      <c r="J95" s="4" t="str">
        <f t="shared" ca="1" si="14"/>
        <v>(3, 7, 2, '2025-07-08', '2025-07-13', '2025-07-12', NULL, 'On Time'),</v>
      </c>
    </row>
    <row r="96" spans="1:10" x14ac:dyDescent="0.3">
      <c r="A96" s="4">
        <f t="shared" si="15"/>
        <v>95</v>
      </c>
      <c r="B96" s="4">
        <f t="shared" ca="1" si="8"/>
        <v>5</v>
      </c>
      <c r="C96" s="4">
        <f t="shared" ca="1" si="8"/>
        <v>8</v>
      </c>
      <c r="D96" s="4">
        <f t="shared" ca="1" si="9"/>
        <v>4</v>
      </c>
      <c r="E96" s="5">
        <f t="shared" ca="1" si="10"/>
        <v>45930</v>
      </c>
      <c r="F96" s="5">
        <f t="shared" ca="1" si="11"/>
        <v>45935</v>
      </c>
      <c r="G96" s="5">
        <f t="shared" ca="1" si="12"/>
        <v>45934</v>
      </c>
      <c r="H96" s="4"/>
      <c r="I96" s="4" t="str">
        <f t="shared" ca="1" si="13"/>
        <v>On Time</v>
      </c>
      <c r="J96" s="4" t="str">
        <f t="shared" ca="1" si="14"/>
        <v>(5, 8, 4, '2025-09-30', '2025-10-05', '2025-10-04', NULL, 'On Time'),</v>
      </c>
    </row>
    <row r="97" spans="1:10" x14ac:dyDescent="0.3">
      <c r="A97" s="4">
        <f t="shared" si="15"/>
        <v>96</v>
      </c>
      <c r="B97" s="4">
        <f t="shared" ca="1" si="8"/>
        <v>10</v>
      </c>
      <c r="C97" s="4">
        <f t="shared" ca="1" si="8"/>
        <v>3</v>
      </c>
      <c r="D97" s="4">
        <f t="shared" ca="1" si="9"/>
        <v>5</v>
      </c>
      <c r="E97" s="5">
        <f t="shared" ca="1" si="10"/>
        <v>45914</v>
      </c>
      <c r="F97" s="5">
        <f t="shared" ca="1" si="11"/>
        <v>45917</v>
      </c>
      <c r="G97" s="5">
        <f t="shared" ca="1" si="12"/>
        <v>45916</v>
      </c>
      <c r="H97" s="4"/>
      <c r="I97" s="4" t="str">
        <f t="shared" ca="1" si="13"/>
        <v>On Time</v>
      </c>
      <c r="J97" s="4" t="str">
        <f t="shared" ca="1" si="14"/>
        <v>(10, 3, 5, '2025-09-14', '2025-09-17', '2025-09-16', NULL, 'On Time'),</v>
      </c>
    </row>
    <row r="98" spans="1:10" x14ac:dyDescent="0.3">
      <c r="A98" s="4">
        <f t="shared" si="15"/>
        <v>97</v>
      </c>
      <c r="B98" s="4">
        <f t="shared" ca="1" si="8"/>
        <v>8</v>
      </c>
      <c r="C98" s="4">
        <f t="shared" ca="1" si="8"/>
        <v>8</v>
      </c>
      <c r="D98" s="4">
        <f t="shared" ca="1" si="9"/>
        <v>5</v>
      </c>
      <c r="E98" s="5">
        <f t="shared" ca="1" si="10"/>
        <v>45891</v>
      </c>
      <c r="F98" s="5">
        <f t="shared" ca="1" si="11"/>
        <v>45894</v>
      </c>
      <c r="G98" s="5">
        <f t="shared" ca="1" si="12"/>
        <v>45892</v>
      </c>
      <c r="H98" s="4"/>
      <c r="I98" s="4" t="str">
        <f t="shared" ca="1" si="13"/>
        <v>On Time</v>
      </c>
      <c r="J98" s="4" t="str">
        <f t="shared" ca="1" si="14"/>
        <v>(8, 8, 5, '2025-08-22', '2025-08-25', '2025-08-23', NULL, 'On Time'),</v>
      </c>
    </row>
    <row r="99" spans="1:10" x14ac:dyDescent="0.3">
      <c r="A99" s="4">
        <f t="shared" si="15"/>
        <v>98</v>
      </c>
      <c r="B99" s="4">
        <f t="shared" ca="1" si="8"/>
        <v>5</v>
      </c>
      <c r="C99" s="4">
        <f t="shared" ca="1" si="8"/>
        <v>8</v>
      </c>
      <c r="D99" s="4">
        <f t="shared" ca="1" si="9"/>
        <v>4</v>
      </c>
      <c r="E99" s="5">
        <f t="shared" ca="1" si="10"/>
        <v>45932</v>
      </c>
      <c r="F99" s="5">
        <f t="shared" ca="1" si="11"/>
        <v>45935</v>
      </c>
      <c r="G99" s="5">
        <f t="shared" ca="1" si="12"/>
        <v>45934</v>
      </c>
      <c r="H99" s="4"/>
      <c r="I99" s="4" t="str">
        <f t="shared" ca="1" si="13"/>
        <v>On Time</v>
      </c>
      <c r="J99" s="4" t="str">
        <f t="shared" ca="1" si="14"/>
        <v>(5, 8, 4, '2025-10-02', '2025-10-05', '2025-10-04', NULL, 'On Time'),</v>
      </c>
    </row>
    <row r="100" spans="1:10" x14ac:dyDescent="0.3">
      <c r="A100" s="4">
        <f t="shared" si="15"/>
        <v>99</v>
      </c>
      <c r="B100" s="4">
        <f t="shared" ca="1" si="8"/>
        <v>8</v>
      </c>
      <c r="C100" s="4">
        <f t="shared" ca="1" si="8"/>
        <v>9</v>
      </c>
      <c r="D100" s="4">
        <f t="shared" ca="1" si="9"/>
        <v>2</v>
      </c>
      <c r="E100" s="5">
        <f t="shared" ca="1" si="10"/>
        <v>45911</v>
      </c>
      <c r="F100" s="5">
        <f t="shared" ca="1" si="11"/>
        <v>45915</v>
      </c>
      <c r="G100" s="5">
        <f t="shared" ca="1" si="12"/>
        <v>45913</v>
      </c>
      <c r="H100" s="4"/>
      <c r="I100" s="4" t="str">
        <f t="shared" ca="1" si="13"/>
        <v>On Time</v>
      </c>
      <c r="J100" s="4" t="str">
        <f t="shared" ca="1" si="14"/>
        <v>(8, 9, 2, '2025-09-11', '2025-09-15', '2025-09-13', NULL, 'On Time'),</v>
      </c>
    </row>
    <row r="101" spans="1:10" x14ac:dyDescent="0.3">
      <c r="A101" s="4">
        <f t="shared" si="15"/>
        <v>100</v>
      </c>
      <c r="B101" s="4">
        <f t="shared" ca="1" si="8"/>
        <v>4</v>
      </c>
      <c r="C101" s="4">
        <f t="shared" ca="1" si="8"/>
        <v>5</v>
      </c>
      <c r="D101" s="4">
        <f t="shared" ca="1" si="9"/>
        <v>3</v>
      </c>
      <c r="E101" s="5">
        <f t="shared" ca="1" si="10"/>
        <v>45886</v>
      </c>
      <c r="F101" s="5">
        <f t="shared" ca="1" si="11"/>
        <v>45890</v>
      </c>
      <c r="G101" s="5">
        <f t="shared" ca="1" si="12"/>
        <v>45890</v>
      </c>
      <c r="H101" s="4"/>
      <c r="I101" s="4" t="str">
        <f t="shared" ca="1" si="13"/>
        <v>On Time</v>
      </c>
      <c r="J101" s="4" t="str">
        <f t="shared" ca="1" si="14"/>
        <v>(4, 5, 3, '2025-08-17', '2025-08-21', '2025-08-21', NULL, 'On Time'),</v>
      </c>
    </row>
    <row r="102" spans="1:10" x14ac:dyDescent="0.3">
      <c r="A102" s="4">
        <f t="shared" si="15"/>
        <v>101</v>
      </c>
      <c r="B102" s="4">
        <f t="shared" ca="1" si="8"/>
        <v>6</v>
      </c>
      <c r="C102" s="4">
        <f t="shared" ca="1" si="8"/>
        <v>6</v>
      </c>
      <c r="D102" s="4">
        <f t="shared" ca="1" si="9"/>
        <v>5</v>
      </c>
      <c r="E102" s="5">
        <f t="shared" ca="1" si="10"/>
        <v>45881</v>
      </c>
      <c r="F102" s="5">
        <f t="shared" ca="1" si="11"/>
        <v>45885</v>
      </c>
      <c r="G102" s="5">
        <f t="shared" ca="1" si="12"/>
        <v>45882</v>
      </c>
      <c r="H102" s="4"/>
      <c r="I102" s="4" t="str">
        <f t="shared" ca="1" si="13"/>
        <v>On Time</v>
      </c>
      <c r="J102" s="4" t="str">
        <f t="shared" ca="1" si="14"/>
        <v>(6, 6, 5, '2025-08-12', '2025-08-16', '2025-08-13', NULL, 'On Time'),</v>
      </c>
    </row>
    <row r="103" spans="1:10" x14ac:dyDescent="0.3">
      <c r="A103" s="4">
        <f t="shared" si="15"/>
        <v>102</v>
      </c>
      <c r="B103" s="4">
        <f t="shared" ca="1" si="8"/>
        <v>10</v>
      </c>
      <c r="C103" s="4">
        <f t="shared" ca="1" si="8"/>
        <v>7</v>
      </c>
      <c r="D103" s="4">
        <f t="shared" ca="1" si="9"/>
        <v>4</v>
      </c>
      <c r="E103" s="5">
        <f t="shared" ca="1" si="10"/>
        <v>46000</v>
      </c>
      <c r="F103" s="5">
        <f t="shared" ca="1" si="11"/>
        <v>46004</v>
      </c>
      <c r="G103" s="5">
        <f t="shared" ca="1" si="12"/>
        <v>46001</v>
      </c>
      <c r="H103" s="4"/>
      <c r="I103" s="4" t="str">
        <f t="shared" ca="1" si="13"/>
        <v>On Time</v>
      </c>
      <c r="J103" s="4" t="str">
        <f t="shared" ca="1" si="14"/>
        <v>(10, 7, 4, '2025-12-09', '2025-12-13', '2025-12-10', NULL, 'On Time'),</v>
      </c>
    </row>
    <row r="104" spans="1:10" x14ac:dyDescent="0.3">
      <c r="A104" s="4">
        <f t="shared" si="15"/>
        <v>103</v>
      </c>
      <c r="B104" s="4">
        <f t="shared" ca="1" si="8"/>
        <v>9</v>
      </c>
      <c r="C104" s="4">
        <f t="shared" ca="1" si="8"/>
        <v>3</v>
      </c>
      <c r="D104" s="4">
        <f t="shared" ca="1" si="9"/>
        <v>5</v>
      </c>
      <c r="E104" s="5">
        <f t="shared" ca="1" si="10"/>
        <v>45989</v>
      </c>
      <c r="F104" s="5">
        <f t="shared" ca="1" si="11"/>
        <v>45993</v>
      </c>
      <c r="G104" s="5">
        <f t="shared" ca="1" si="12"/>
        <v>45993</v>
      </c>
      <c r="H104" s="4"/>
      <c r="I104" s="4" t="str">
        <f t="shared" ca="1" si="13"/>
        <v>On Time</v>
      </c>
      <c r="J104" s="4" t="str">
        <f t="shared" ca="1" si="14"/>
        <v>(9, 3, 5, '2025-11-28', '2025-12-02', '2025-12-02', NULL, 'On Time'),</v>
      </c>
    </row>
    <row r="105" spans="1:10" x14ac:dyDescent="0.3">
      <c r="A105" s="4">
        <f t="shared" si="15"/>
        <v>104</v>
      </c>
      <c r="B105" s="4">
        <f t="shared" ca="1" si="8"/>
        <v>6</v>
      </c>
      <c r="C105" s="4">
        <f t="shared" ca="1" si="8"/>
        <v>9</v>
      </c>
      <c r="D105" s="4">
        <f t="shared" ca="1" si="9"/>
        <v>2</v>
      </c>
      <c r="E105" s="5">
        <f t="shared" ca="1" si="10"/>
        <v>45843</v>
      </c>
      <c r="F105" s="5">
        <f t="shared" ca="1" si="11"/>
        <v>45847</v>
      </c>
      <c r="G105" s="5">
        <f t="shared" ca="1" si="12"/>
        <v>45844</v>
      </c>
      <c r="H105" s="4"/>
      <c r="I105" s="4" t="str">
        <f t="shared" ca="1" si="13"/>
        <v>On Time</v>
      </c>
      <c r="J105" s="4" t="str">
        <f t="shared" ca="1" si="14"/>
        <v>(6, 9, 2, '2025-07-05', '2025-07-09', '2025-07-06', NULL, 'On Time'),</v>
      </c>
    </row>
    <row r="106" spans="1:10" x14ac:dyDescent="0.3">
      <c r="A106" s="4">
        <f t="shared" si="15"/>
        <v>105</v>
      </c>
      <c r="B106" s="4">
        <f t="shared" ca="1" si="8"/>
        <v>7</v>
      </c>
      <c r="C106" s="4">
        <f t="shared" ca="1" si="8"/>
        <v>9</v>
      </c>
      <c r="D106" s="4">
        <f t="shared" ca="1" si="9"/>
        <v>3</v>
      </c>
      <c r="E106" s="5">
        <f t="shared" ca="1" si="10"/>
        <v>45868</v>
      </c>
      <c r="F106" s="5">
        <f t="shared" ca="1" si="11"/>
        <v>45872</v>
      </c>
      <c r="G106" s="5">
        <f t="shared" ca="1" si="12"/>
        <v>45871</v>
      </c>
      <c r="H106" s="4"/>
      <c r="I106" s="4" t="str">
        <f t="shared" ca="1" si="13"/>
        <v>On Time</v>
      </c>
      <c r="J106" s="4" t="str">
        <f t="shared" ca="1" si="14"/>
        <v>(7, 9, 3, '2025-07-30', '2025-08-03', '2025-08-02', NULL, 'On Time'),</v>
      </c>
    </row>
    <row r="107" spans="1:10" x14ac:dyDescent="0.3">
      <c r="A107" s="4">
        <f t="shared" si="15"/>
        <v>106</v>
      </c>
      <c r="B107" s="4">
        <f t="shared" ca="1" si="8"/>
        <v>7</v>
      </c>
      <c r="C107" s="4">
        <f t="shared" ca="1" si="8"/>
        <v>10</v>
      </c>
      <c r="D107" s="4">
        <f t="shared" ca="1" si="9"/>
        <v>4</v>
      </c>
      <c r="E107" s="5">
        <f t="shared" ca="1" si="10"/>
        <v>46009</v>
      </c>
      <c r="F107" s="5">
        <f t="shared" ca="1" si="11"/>
        <v>46012</v>
      </c>
      <c r="G107" s="5">
        <f t="shared" ca="1" si="12"/>
        <v>46009</v>
      </c>
      <c r="H107" s="4"/>
      <c r="I107" s="4" t="str">
        <f t="shared" ca="1" si="13"/>
        <v>On Time</v>
      </c>
      <c r="J107" s="4" t="str">
        <f t="shared" ca="1" si="14"/>
        <v>(7, 10, 4, '2025-12-18', '2025-12-21', '2025-12-18', NULL, 'On Time'),</v>
      </c>
    </row>
    <row r="108" spans="1:10" x14ac:dyDescent="0.3">
      <c r="A108" s="4">
        <f t="shared" si="15"/>
        <v>107</v>
      </c>
      <c r="B108" s="4">
        <f t="shared" ca="1" si="8"/>
        <v>4</v>
      </c>
      <c r="C108" s="4">
        <f t="shared" ca="1" si="8"/>
        <v>6</v>
      </c>
      <c r="D108" s="4">
        <f t="shared" ca="1" si="9"/>
        <v>1</v>
      </c>
      <c r="E108" s="5">
        <f t="shared" ca="1" si="10"/>
        <v>45892</v>
      </c>
      <c r="F108" s="5">
        <f t="shared" ca="1" si="11"/>
        <v>45896</v>
      </c>
      <c r="G108" s="5">
        <f t="shared" ca="1" si="12"/>
        <v>45895</v>
      </c>
      <c r="H108" s="4"/>
      <c r="I108" s="4" t="str">
        <f t="shared" ca="1" si="13"/>
        <v>On Time</v>
      </c>
      <c r="J108" s="4" t="str">
        <f t="shared" ca="1" si="14"/>
        <v>(4, 6, 1, '2025-08-23', '2025-08-27', '2025-08-26', NULL, 'On Time'),</v>
      </c>
    </row>
    <row r="109" spans="1:10" x14ac:dyDescent="0.3">
      <c r="A109" s="4">
        <f t="shared" si="15"/>
        <v>108</v>
      </c>
      <c r="B109" s="4">
        <f t="shared" ca="1" si="8"/>
        <v>7</v>
      </c>
      <c r="C109" s="4">
        <f t="shared" ca="1" si="8"/>
        <v>4</v>
      </c>
      <c r="D109" s="4">
        <f t="shared" ca="1" si="9"/>
        <v>4</v>
      </c>
      <c r="E109" s="5">
        <f t="shared" ca="1" si="10"/>
        <v>45996</v>
      </c>
      <c r="F109" s="5">
        <f t="shared" ca="1" si="11"/>
        <v>46000</v>
      </c>
      <c r="G109" s="5">
        <f t="shared" ca="1" si="12"/>
        <v>46000</v>
      </c>
      <c r="H109" s="4"/>
      <c r="I109" s="4" t="str">
        <f t="shared" ca="1" si="13"/>
        <v>On Time</v>
      </c>
      <c r="J109" s="4" t="str">
        <f t="shared" ca="1" si="14"/>
        <v>(7, 4, 4, '2025-12-05', '2025-12-09', '2025-12-09', NULL, 'On Time'),</v>
      </c>
    </row>
    <row r="110" spans="1:10" x14ac:dyDescent="0.3">
      <c r="A110" s="4">
        <f t="shared" si="15"/>
        <v>109</v>
      </c>
      <c r="B110" s="4">
        <f t="shared" ca="1" si="8"/>
        <v>2</v>
      </c>
      <c r="C110" s="4">
        <f t="shared" ca="1" si="8"/>
        <v>6</v>
      </c>
      <c r="D110" s="4">
        <f t="shared" ca="1" si="9"/>
        <v>4</v>
      </c>
      <c r="E110" s="5">
        <f t="shared" ca="1" si="10"/>
        <v>45976</v>
      </c>
      <c r="F110" s="5">
        <f t="shared" ca="1" si="11"/>
        <v>45979</v>
      </c>
      <c r="G110" s="5">
        <f t="shared" ca="1" si="12"/>
        <v>45976</v>
      </c>
      <c r="H110" s="4"/>
      <c r="I110" s="4" t="str">
        <f t="shared" ca="1" si="13"/>
        <v>On Time</v>
      </c>
      <c r="J110" s="4" t="str">
        <f t="shared" ca="1" si="14"/>
        <v>(2, 6, 4, '2025-11-15', '2025-11-18', '2025-11-15', NULL, 'On Time'),</v>
      </c>
    </row>
    <row r="111" spans="1:10" x14ac:dyDescent="0.3">
      <c r="A111" s="4">
        <f t="shared" si="15"/>
        <v>110</v>
      </c>
      <c r="B111" s="4">
        <f t="shared" ca="1" si="8"/>
        <v>6</v>
      </c>
      <c r="C111" s="4">
        <f t="shared" ca="1" si="8"/>
        <v>3</v>
      </c>
      <c r="D111" s="4">
        <f t="shared" ca="1" si="9"/>
        <v>4</v>
      </c>
      <c r="E111" s="5">
        <f t="shared" ca="1" si="10"/>
        <v>45911</v>
      </c>
      <c r="F111" s="5">
        <f t="shared" ca="1" si="11"/>
        <v>45914</v>
      </c>
      <c r="G111" s="5">
        <f t="shared" ca="1" si="12"/>
        <v>45911</v>
      </c>
      <c r="H111" s="4"/>
      <c r="I111" s="4" t="str">
        <f t="shared" ca="1" si="13"/>
        <v>On Time</v>
      </c>
      <c r="J111" s="4" t="str">
        <f t="shared" ca="1" si="14"/>
        <v>(6, 3, 4, '2025-09-11', '2025-09-14', '2025-09-11', NULL, 'On Time'),</v>
      </c>
    </row>
    <row r="112" spans="1:10" x14ac:dyDescent="0.3">
      <c r="A112" s="4">
        <f t="shared" si="15"/>
        <v>111</v>
      </c>
      <c r="B112" s="4">
        <f t="shared" ca="1" si="8"/>
        <v>2</v>
      </c>
      <c r="C112" s="4">
        <f t="shared" ca="1" si="8"/>
        <v>2</v>
      </c>
      <c r="D112" s="4">
        <f t="shared" ca="1" si="9"/>
        <v>3</v>
      </c>
      <c r="E112" s="5">
        <f t="shared" ca="1" si="10"/>
        <v>45998</v>
      </c>
      <c r="F112" s="5">
        <f t="shared" ca="1" si="11"/>
        <v>46003</v>
      </c>
      <c r="G112" s="5">
        <f t="shared" ca="1" si="12"/>
        <v>46001</v>
      </c>
      <c r="H112" s="4"/>
      <c r="I112" s="4" t="str">
        <f t="shared" ca="1" si="13"/>
        <v>On Time</v>
      </c>
      <c r="J112" s="4" t="str">
        <f t="shared" ca="1" si="14"/>
        <v>(2, 2, 3, '2025-12-07', '2025-12-12', '2025-12-10', NULL, 'On Time'),</v>
      </c>
    </row>
    <row r="113" spans="1:10" x14ac:dyDescent="0.3">
      <c r="A113" s="4">
        <f t="shared" si="15"/>
        <v>112</v>
      </c>
      <c r="B113" s="4">
        <f t="shared" ca="1" si="8"/>
        <v>7</v>
      </c>
      <c r="C113" s="4">
        <f t="shared" ca="1" si="8"/>
        <v>1</v>
      </c>
      <c r="D113" s="4">
        <f t="shared" ca="1" si="9"/>
        <v>2</v>
      </c>
      <c r="E113" s="5">
        <f t="shared" ca="1" si="10"/>
        <v>45907</v>
      </c>
      <c r="F113" s="5">
        <f t="shared" ca="1" si="11"/>
        <v>45912</v>
      </c>
      <c r="G113" s="5">
        <f t="shared" ca="1" si="12"/>
        <v>45909</v>
      </c>
      <c r="H113" s="4"/>
      <c r="I113" s="4" t="str">
        <f t="shared" ca="1" si="13"/>
        <v>On Time</v>
      </c>
      <c r="J113" s="4" t="str">
        <f t="shared" ca="1" si="14"/>
        <v>(7, 1, 2, '2025-09-07', '2025-09-12', '2025-09-09', NULL, 'On Time'),</v>
      </c>
    </row>
    <row r="114" spans="1:10" x14ac:dyDescent="0.3">
      <c r="A114" s="4">
        <f t="shared" si="15"/>
        <v>113</v>
      </c>
      <c r="B114" s="4">
        <f t="shared" ca="1" si="8"/>
        <v>10</v>
      </c>
      <c r="C114" s="4">
        <f t="shared" ca="1" si="8"/>
        <v>8</v>
      </c>
      <c r="D114" s="4">
        <f t="shared" ca="1" si="9"/>
        <v>4</v>
      </c>
      <c r="E114" s="5">
        <f t="shared" ca="1" si="10"/>
        <v>45960</v>
      </c>
      <c r="F114" s="5">
        <f t="shared" ca="1" si="11"/>
        <v>45965</v>
      </c>
      <c r="G114" s="5">
        <f t="shared" ca="1" si="12"/>
        <v>45965</v>
      </c>
      <c r="H114" s="4"/>
      <c r="I114" s="4" t="str">
        <f t="shared" ca="1" si="13"/>
        <v>On Time</v>
      </c>
      <c r="J114" s="4" t="str">
        <f t="shared" ca="1" si="14"/>
        <v>(10, 8, 4, '2025-10-30', '2025-11-04', '2025-11-04', NULL, 'On Time'),</v>
      </c>
    </row>
    <row r="115" spans="1:10" x14ac:dyDescent="0.3">
      <c r="A115" s="4">
        <f t="shared" si="15"/>
        <v>114</v>
      </c>
      <c r="B115" s="4">
        <f t="shared" ca="1" si="8"/>
        <v>10</v>
      </c>
      <c r="C115" s="4">
        <f t="shared" ca="1" si="8"/>
        <v>6</v>
      </c>
      <c r="D115" s="4">
        <f t="shared" ca="1" si="9"/>
        <v>4</v>
      </c>
      <c r="E115" s="5">
        <f t="shared" ca="1" si="10"/>
        <v>45851</v>
      </c>
      <c r="F115" s="5">
        <f t="shared" ca="1" si="11"/>
        <v>45856</v>
      </c>
      <c r="G115" s="5">
        <f t="shared" ca="1" si="12"/>
        <v>45854</v>
      </c>
      <c r="H115" s="4"/>
      <c r="I115" s="4" t="str">
        <f t="shared" ca="1" si="13"/>
        <v>On Time</v>
      </c>
      <c r="J115" s="4" t="str">
        <f t="shared" ca="1" si="14"/>
        <v>(10, 6, 4, '2025-07-13', '2025-07-18', '2025-07-16', NULL, 'On Time'),</v>
      </c>
    </row>
    <row r="116" spans="1:10" x14ac:dyDescent="0.3">
      <c r="A116" s="4">
        <f t="shared" si="15"/>
        <v>115</v>
      </c>
      <c r="B116" s="4">
        <f t="shared" ca="1" si="8"/>
        <v>4</v>
      </c>
      <c r="C116" s="4">
        <f t="shared" ca="1" si="8"/>
        <v>8</v>
      </c>
      <c r="D116" s="4">
        <f t="shared" ca="1" si="9"/>
        <v>2</v>
      </c>
      <c r="E116" s="5">
        <f t="shared" ca="1" si="10"/>
        <v>45956</v>
      </c>
      <c r="F116" s="5">
        <f t="shared" ca="1" si="11"/>
        <v>45959</v>
      </c>
      <c r="G116" s="5">
        <f t="shared" ca="1" si="12"/>
        <v>45957</v>
      </c>
      <c r="H116" s="4"/>
      <c r="I116" s="4" t="str">
        <f t="shared" ca="1" si="13"/>
        <v>On Time</v>
      </c>
      <c r="J116" s="4" t="str">
        <f t="shared" ca="1" si="14"/>
        <v>(4, 8, 2, '2025-10-26', '2025-10-29', '2025-10-27', NULL, 'On Time'),</v>
      </c>
    </row>
    <row r="117" spans="1:10" x14ac:dyDescent="0.3">
      <c r="A117" s="4">
        <f t="shared" si="15"/>
        <v>116</v>
      </c>
      <c r="B117" s="4">
        <f t="shared" ca="1" si="8"/>
        <v>1</v>
      </c>
      <c r="C117" s="4">
        <f t="shared" ca="1" si="8"/>
        <v>10</v>
      </c>
      <c r="D117" s="4">
        <f t="shared" ca="1" si="9"/>
        <v>5</v>
      </c>
      <c r="E117" s="5">
        <f t="shared" ca="1" si="10"/>
        <v>45983</v>
      </c>
      <c r="F117" s="5">
        <f t="shared" ca="1" si="11"/>
        <v>45988</v>
      </c>
      <c r="G117" s="5">
        <f t="shared" ca="1" si="12"/>
        <v>45985</v>
      </c>
      <c r="H117" s="4"/>
      <c r="I117" s="4" t="str">
        <f t="shared" ca="1" si="13"/>
        <v>On Time</v>
      </c>
      <c r="J117" s="4" t="str">
        <f t="shared" ca="1" si="14"/>
        <v>(1, 10, 5, '2025-11-22', '2025-11-27', '2025-11-24', NULL, 'On Time'),</v>
      </c>
    </row>
    <row r="118" spans="1:10" x14ac:dyDescent="0.3">
      <c r="A118" s="4">
        <f t="shared" si="15"/>
        <v>117</v>
      </c>
      <c r="B118" s="4">
        <f t="shared" ca="1" si="8"/>
        <v>10</v>
      </c>
      <c r="C118" s="4">
        <f t="shared" ca="1" si="8"/>
        <v>2</v>
      </c>
      <c r="D118" s="4">
        <f t="shared" ca="1" si="9"/>
        <v>4</v>
      </c>
      <c r="E118" s="5">
        <f t="shared" ca="1" si="10"/>
        <v>45870</v>
      </c>
      <c r="F118" s="5">
        <f t="shared" ca="1" si="11"/>
        <v>45874</v>
      </c>
      <c r="G118" s="5">
        <f t="shared" ca="1" si="12"/>
        <v>45871</v>
      </c>
      <c r="H118" s="4"/>
      <c r="I118" s="4" t="str">
        <f t="shared" ca="1" si="13"/>
        <v>On Time</v>
      </c>
      <c r="J118" s="4" t="str">
        <f t="shared" ca="1" si="14"/>
        <v>(10, 2, 4, '2025-08-01', '2025-08-05', '2025-08-02', NULL, 'On Time'),</v>
      </c>
    </row>
    <row r="119" spans="1:10" x14ac:dyDescent="0.3">
      <c r="A119" s="4">
        <f t="shared" si="15"/>
        <v>118</v>
      </c>
      <c r="B119" s="4">
        <f t="shared" ca="1" si="8"/>
        <v>6</v>
      </c>
      <c r="C119" s="4">
        <f t="shared" ca="1" si="8"/>
        <v>4</v>
      </c>
      <c r="D119" s="4">
        <f t="shared" ca="1" si="9"/>
        <v>1</v>
      </c>
      <c r="E119" s="5">
        <f t="shared" ca="1" si="10"/>
        <v>45900</v>
      </c>
      <c r="F119" s="5">
        <f t="shared" ca="1" si="11"/>
        <v>45904</v>
      </c>
      <c r="G119" s="5">
        <f t="shared" ca="1" si="12"/>
        <v>45903</v>
      </c>
      <c r="H119" s="4"/>
      <c r="I119" s="4" t="str">
        <f t="shared" ca="1" si="13"/>
        <v>On Time</v>
      </c>
      <c r="J119" s="4" t="str">
        <f t="shared" ca="1" si="14"/>
        <v>(6, 4, 1, '2025-08-31', '2025-09-04', '2025-09-03', NULL, 'On Time'),</v>
      </c>
    </row>
    <row r="120" spans="1:10" x14ac:dyDescent="0.3">
      <c r="A120" s="4">
        <f t="shared" si="15"/>
        <v>119</v>
      </c>
      <c r="B120" s="4">
        <f t="shared" ca="1" si="8"/>
        <v>8</v>
      </c>
      <c r="C120" s="4">
        <f t="shared" ca="1" si="8"/>
        <v>9</v>
      </c>
      <c r="D120" s="4">
        <f t="shared" ca="1" si="9"/>
        <v>5</v>
      </c>
      <c r="E120" s="5">
        <f t="shared" ca="1" si="10"/>
        <v>45899</v>
      </c>
      <c r="F120" s="5">
        <f t="shared" ca="1" si="11"/>
        <v>45903</v>
      </c>
      <c r="G120" s="5">
        <f t="shared" ca="1" si="12"/>
        <v>45902</v>
      </c>
      <c r="H120" s="4"/>
      <c r="I120" s="4" t="str">
        <f t="shared" ca="1" si="13"/>
        <v>On Time</v>
      </c>
      <c r="J120" s="4" t="str">
        <f t="shared" ca="1" si="14"/>
        <v>(8, 9, 5, '2025-08-30', '2025-09-03', '2025-09-02', NULL, 'On Time'),</v>
      </c>
    </row>
    <row r="121" spans="1:10" x14ac:dyDescent="0.3">
      <c r="A121" s="4">
        <f t="shared" si="15"/>
        <v>120</v>
      </c>
      <c r="B121" s="4">
        <f t="shared" ca="1" si="8"/>
        <v>1</v>
      </c>
      <c r="C121" s="4">
        <f t="shared" ca="1" si="8"/>
        <v>3</v>
      </c>
      <c r="D121" s="4">
        <f t="shared" ca="1" si="9"/>
        <v>4</v>
      </c>
      <c r="E121" s="5">
        <f t="shared" ca="1" si="10"/>
        <v>45900</v>
      </c>
      <c r="F121" s="5">
        <f t="shared" ca="1" si="11"/>
        <v>45903</v>
      </c>
      <c r="G121" s="5">
        <f t="shared" ca="1" si="12"/>
        <v>45901</v>
      </c>
      <c r="H121" s="4"/>
      <c r="I121" s="4" t="str">
        <f t="shared" ca="1" si="13"/>
        <v>On Time</v>
      </c>
      <c r="J121" s="4" t="str">
        <f t="shared" ca="1" si="14"/>
        <v>(1, 3, 4, '2025-08-31', '2025-09-03', '2025-09-01', NULL, 'On Time'),</v>
      </c>
    </row>
    <row r="122" spans="1:10" x14ac:dyDescent="0.3">
      <c r="A122" s="4">
        <f t="shared" si="15"/>
        <v>121</v>
      </c>
      <c r="B122" s="4">
        <f t="shared" ca="1" si="8"/>
        <v>1</v>
      </c>
      <c r="C122" s="4">
        <f t="shared" ca="1" si="8"/>
        <v>1</v>
      </c>
      <c r="D122" s="4">
        <f t="shared" ca="1" si="9"/>
        <v>4</v>
      </c>
      <c r="E122" s="5">
        <f t="shared" ca="1" si="10"/>
        <v>45971</v>
      </c>
      <c r="F122" s="5">
        <f t="shared" ca="1" si="11"/>
        <v>45974</v>
      </c>
      <c r="G122" s="5">
        <f t="shared" ca="1" si="12"/>
        <v>45973</v>
      </c>
      <c r="H122" s="4"/>
      <c r="I122" s="4" t="str">
        <f t="shared" ca="1" si="13"/>
        <v>On Time</v>
      </c>
      <c r="J122" s="4" t="str">
        <f t="shared" ca="1" si="14"/>
        <v>(1, 1, 4, '2025-11-10', '2025-11-13', '2025-11-12', NULL, 'On Time'),</v>
      </c>
    </row>
    <row r="123" spans="1:10" x14ac:dyDescent="0.3">
      <c r="A123" s="4">
        <f t="shared" si="15"/>
        <v>122</v>
      </c>
      <c r="B123" s="4">
        <f t="shared" ca="1" si="8"/>
        <v>5</v>
      </c>
      <c r="C123" s="4">
        <f t="shared" ca="1" si="8"/>
        <v>9</v>
      </c>
      <c r="D123" s="4">
        <f t="shared" ca="1" si="9"/>
        <v>4</v>
      </c>
      <c r="E123" s="5">
        <f t="shared" ca="1" si="10"/>
        <v>45928</v>
      </c>
      <c r="F123" s="5">
        <f t="shared" ca="1" si="11"/>
        <v>45931</v>
      </c>
      <c r="G123" s="5">
        <f t="shared" ca="1" si="12"/>
        <v>45930</v>
      </c>
      <c r="H123" s="4"/>
      <c r="I123" s="4" t="str">
        <f t="shared" ca="1" si="13"/>
        <v>On Time</v>
      </c>
      <c r="J123" s="4" t="str">
        <f t="shared" ca="1" si="14"/>
        <v>(5, 9, 4, '2025-09-28', '2025-10-01', '2025-09-30', NULL, 'On Time'),</v>
      </c>
    </row>
    <row r="124" spans="1:10" x14ac:dyDescent="0.3">
      <c r="A124" s="4">
        <f t="shared" si="15"/>
        <v>123</v>
      </c>
      <c r="B124" s="4">
        <f t="shared" ca="1" si="8"/>
        <v>5</v>
      </c>
      <c r="C124" s="4">
        <f t="shared" ca="1" si="8"/>
        <v>2</v>
      </c>
      <c r="D124" s="4">
        <f t="shared" ca="1" si="9"/>
        <v>5</v>
      </c>
      <c r="E124" s="5">
        <f t="shared" ca="1" si="10"/>
        <v>46020</v>
      </c>
      <c r="F124" s="5">
        <f t="shared" ca="1" si="11"/>
        <v>46025</v>
      </c>
      <c r="G124" s="5">
        <f t="shared" ca="1" si="12"/>
        <v>46025</v>
      </c>
      <c r="H124" s="4"/>
      <c r="I124" s="4" t="str">
        <f t="shared" ca="1" si="13"/>
        <v>On Time</v>
      </c>
      <c r="J124" s="4" t="str">
        <f t="shared" ca="1" si="14"/>
        <v>(5, 2, 5, '2025-12-29', '2026-01-03', '2026-01-03', NULL, 'On Time'),</v>
      </c>
    </row>
    <row r="125" spans="1:10" x14ac:dyDescent="0.3">
      <c r="A125" s="4">
        <f t="shared" si="15"/>
        <v>124</v>
      </c>
      <c r="B125" s="4">
        <f t="shared" ca="1" si="8"/>
        <v>9</v>
      </c>
      <c r="C125" s="4">
        <f t="shared" ca="1" si="8"/>
        <v>10</v>
      </c>
      <c r="D125" s="4">
        <f t="shared" ca="1" si="9"/>
        <v>3</v>
      </c>
      <c r="E125" s="5">
        <f t="shared" ca="1" si="10"/>
        <v>45885</v>
      </c>
      <c r="F125" s="5">
        <f t="shared" ca="1" si="11"/>
        <v>45888</v>
      </c>
      <c r="G125" s="5">
        <f t="shared" ca="1" si="12"/>
        <v>45887</v>
      </c>
      <c r="H125" s="4"/>
      <c r="I125" s="4" t="str">
        <f t="shared" ca="1" si="13"/>
        <v>On Time</v>
      </c>
      <c r="J125" s="4" t="str">
        <f t="shared" ca="1" si="14"/>
        <v>(9, 10, 3, '2025-08-16', '2025-08-19', '2025-08-18', NULL, 'On Time'),</v>
      </c>
    </row>
    <row r="126" spans="1:10" x14ac:dyDescent="0.3">
      <c r="A126" s="4">
        <f t="shared" si="15"/>
        <v>125</v>
      </c>
      <c r="B126" s="4">
        <f t="shared" ca="1" si="8"/>
        <v>4</v>
      </c>
      <c r="C126" s="4">
        <f t="shared" ca="1" si="8"/>
        <v>8</v>
      </c>
      <c r="D126" s="4">
        <f t="shared" ca="1" si="9"/>
        <v>4</v>
      </c>
      <c r="E126" s="5">
        <f t="shared" ca="1" si="10"/>
        <v>45951</v>
      </c>
      <c r="F126" s="5">
        <f t="shared" ca="1" si="11"/>
        <v>45956</v>
      </c>
      <c r="G126" s="5">
        <f t="shared" ca="1" si="12"/>
        <v>45955</v>
      </c>
      <c r="H126" s="4"/>
      <c r="I126" s="4" t="str">
        <f t="shared" ca="1" si="13"/>
        <v>On Time</v>
      </c>
      <c r="J126" s="4" t="str">
        <f t="shared" ca="1" si="14"/>
        <v>(4, 8, 4, '2025-10-21', '2025-10-26', '2025-10-25', NULL, 'On Time'),</v>
      </c>
    </row>
    <row r="127" spans="1:10" x14ac:dyDescent="0.3">
      <c r="A127" s="4">
        <f t="shared" si="15"/>
        <v>126</v>
      </c>
      <c r="B127" s="4">
        <f t="shared" ca="1" si="8"/>
        <v>4</v>
      </c>
      <c r="C127" s="4">
        <f t="shared" ca="1" si="8"/>
        <v>8</v>
      </c>
      <c r="D127" s="4">
        <f t="shared" ca="1" si="9"/>
        <v>3</v>
      </c>
      <c r="E127" s="5">
        <f t="shared" ca="1" si="10"/>
        <v>46017</v>
      </c>
      <c r="F127" s="5">
        <f t="shared" ca="1" si="11"/>
        <v>46020</v>
      </c>
      <c r="G127" s="5">
        <f t="shared" ca="1" si="12"/>
        <v>46018</v>
      </c>
      <c r="H127" s="4"/>
      <c r="I127" s="4" t="str">
        <f t="shared" ca="1" si="13"/>
        <v>On Time</v>
      </c>
      <c r="J127" s="4" t="str">
        <f t="shared" ca="1" si="14"/>
        <v>(4, 8, 3, '2025-12-26', '2025-12-29', '2025-12-27', NULL, 'On Time'),</v>
      </c>
    </row>
    <row r="128" spans="1:10" x14ac:dyDescent="0.3">
      <c r="A128" s="4">
        <f t="shared" si="15"/>
        <v>127</v>
      </c>
      <c r="B128" s="4">
        <f t="shared" ca="1" si="8"/>
        <v>6</v>
      </c>
      <c r="C128" s="4">
        <f t="shared" ca="1" si="8"/>
        <v>8</v>
      </c>
      <c r="D128" s="4">
        <f t="shared" ca="1" si="9"/>
        <v>3</v>
      </c>
      <c r="E128" s="5">
        <f t="shared" ca="1" si="10"/>
        <v>45977</v>
      </c>
      <c r="F128" s="5">
        <f t="shared" ca="1" si="11"/>
        <v>45980</v>
      </c>
      <c r="G128" s="5">
        <f t="shared" ca="1" si="12"/>
        <v>45979</v>
      </c>
      <c r="H128" s="4"/>
      <c r="I128" s="4" t="str">
        <f t="shared" ca="1" si="13"/>
        <v>On Time</v>
      </c>
      <c r="J128" s="4" t="str">
        <f t="shared" ca="1" si="14"/>
        <v>(6, 8, 3, '2025-11-16', '2025-11-19', '2025-11-18', NULL, 'On Time'),</v>
      </c>
    </row>
    <row r="129" spans="1:10" x14ac:dyDescent="0.3">
      <c r="A129" s="4">
        <f t="shared" si="15"/>
        <v>128</v>
      </c>
      <c r="B129" s="4">
        <f t="shared" ca="1" si="8"/>
        <v>7</v>
      </c>
      <c r="C129" s="4">
        <f t="shared" ca="1" si="8"/>
        <v>7</v>
      </c>
      <c r="D129" s="4">
        <f t="shared" ca="1" si="9"/>
        <v>2</v>
      </c>
      <c r="E129" s="5">
        <f t="shared" ca="1" si="10"/>
        <v>46019</v>
      </c>
      <c r="F129" s="5">
        <f t="shared" ca="1" si="11"/>
        <v>46024</v>
      </c>
      <c r="G129" s="5">
        <f t="shared" ca="1" si="12"/>
        <v>46021</v>
      </c>
      <c r="H129" s="4"/>
      <c r="I129" s="4" t="str">
        <f t="shared" ca="1" si="13"/>
        <v>On Time</v>
      </c>
      <c r="J129" s="4" t="str">
        <f t="shared" ca="1" si="14"/>
        <v>(7, 7, 2, '2025-12-28', '2026-01-02', '2025-12-30', NULL, 'On Time'),</v>
      </c>
    </row>
    <row r="130" spans="1:10" x14ac:dyDescent="0.3">
      <c r="A130" s="4">
        <f t="shared" si="15"/>
        <v>129</v>
      </c>
      <c r="B130" s="4">
        <f t="shared" ca="1" si="8"/>
        <v>9</v>
      </c>
      <c r="C130" s="4">
        <f t="shared" ca="1" si="8"/>
        <v>2</v>
      </c>
      <c r="D130" s="4">
        <f t="shared" ca="1" si="9"/>
        <v>4</v>
      </c>
      <c r="E130" s="5">
        <f t="shared" ca="1" si="10"/>
        <v>45920</v>
      </c>
      <c r="F130" s="5">
        <f t="shared" ca="1" si="11"/>
        <v>45924</v>
      </c>
      <c r="G130" s="5">
        <f t="shared" ca="1" si="12"/>
        <v>45921</v>
      </c>
      <c r="H130" s="4"/>
      <c r="I130" s="4" t="str">
        <f t="shared" ca="1" si="13"/>
        <v>On Time</v>
      </c>
      <c r="J130" s="4" t="str">
        <f t="shared" ca="1" si="14"/>
        <v>(9, 2, 4, '2025-09-20', '2025-09-24', '2025-09-21', NULL, 'On Time'),</v>
      </c>
    </row>
    <row r="131" spans="1:10" x14ac:dyDescent="0.3">
      <c r="A131" s="4">
        <f t="shared" si="15"/>
        <v>130</v>
      </c>
      <c r="B131" s="4">
        <f t="shared" ref="B131:C194" ca="1" si="16" xml:space="preserve"> RANDBETWEEN(1, 10)</f>
        <v>5</v>
      </c>
      <c r="C131" s="4">
        <f t="shared" ca="1" si="16"/>
        <v>7</v>
      </c>
      <c r="D131" s="4">
        <f t="shared" ref="D131:D194" ca="1" si="17" xml:space="preserve"> RANDBETWEEN(1, 5)</f>
        <v>4</v>
      </c>
      <c r="E131" s="5">
        <f t="shared" ref="E131:E194" ca="1" si="18" xml:space="preserve"> DATE(2025, 7, 1) + RANDBETWEEN(1, 183)</f>
        <v>45947</v>
      </c>
      <c r="F131" s="5">
        <f t="shared" ref="F131:F194" ca="1" si="19" xml:space="preserve"> E131 + RANDBETWEEN(3, 5)</f>
        <v>45951</v>
      </c>
      <c r="G131" s="5">
        <f t="shared" ref="G131:G141" ca="1" si="20" xml:space="preserve"> F131 - RANDBETWEEN(0, 3)</f>
        <v>45949</v>
      </c>
      <c r="H131" s="4"/>
      <c r="I131" s="4" t="str">
        <f t="shared" ref="I131:I194" ca="1" si="21" xml:space="preserve"> IF(G131 = "", "In Transit", IF(G131 &lt;= F131, "On Time", "Delayed"))</f>
        <v>On Time</v>
      </c>
      <c r="J131" s="4" t="str">
        <f t="shared" ref="J131:J194" ca="1" si="22">"("&amp;B131&amp;", "&amp;C131&amp;", "&amp;D131&amp;", "&amp;"'"&amp;TEXT(E131,"yyyy-mm-dd")&amp;"'"&amp;", "&amp;"'"&amp;TEXT(F131,"yyyy-mm-dd")&amp;"'"&amp;", "&amp;IF(G131="","NULL","'"&amp;TEXT(G131,"yyyy-mm-dd")&amp;"'")&amp;", "&amp;IF(H131="","NULL","'"&amp;H131&amp;"'")&amp;", "&amp;"'"&amp;I131&amp;"'"&amp;")"&amp;","</f>
        <v>(5, 7, 4, '2025-10-17', '2025-10-21', '2025-10-19', NULL, 'On Time'),</v>
      </c>
    </row>
    <row r="132" spans="1:10" x14ac:dyDescent="0.3">
      <c r="A132" s="4">
        <f t="shared" si="15"/>
        <v>131</v>
      </c>
      <c r="B132" s="4">
        <f t="shared" ca="1" si="16"/>
        <v>2</v>
      </c>
      <c r="C132" s="4">
        <f t="shared" ca="1" si="16"/>
        <v>2</v>
      </c>
      <c r="D132" s="4">
        <f t="shared" ca="1" si="17"/>
        <v>3</v>
      </c>
      <c r="E132" s="5">
        <f t="shared" ca="1" si="18"/>
        <v>45916</v>
      </c>
      <c r="F132" s="5">
        <f t="shared" ca="1" si="19"/>
        <v>45919</v>
      </c>
      <c r="G132" s="5">
        <f t="shared" ca="1" si="20"/>
        <v>45917</v>
      </c>
      <c r="H132" s="4"/>
      <c r="I132" s="4" t="str">
        <f t="shared" ca="1" si="21"/>
        <v>On Time</v>
      </c>
      <c r="J132" s="4" t="str">
        <f t="shared" ca="1" si="22"/>
        <v>(2, 2, 3, '2025-09-16', '2025-09-19', '2025-09-17', NULL, 'On Time'),</v>
      </c>
    </row>
    <row r="133" spans="1:10" x14ac:dyDescent="0.3">
      <c r="A133" s="4">
        <f t="shared" ref="A133:A196" si="23" xml:space="preserve"> A132 + 1</f>
        <v>132</v>
      </c>
      <c r="B133" s="4">
        <f t="shared" ca="1" si="16"/>
        <v>2</v>
      </c>
      <c r="C133" s="4">
        <f t="shared" ca="1" si="16"/>
        <v>7</v>
      </c>
      <c r="D133" s="4">
        <f t="shared" ca="1" si="17"/>
        <v>4</v>
      </c>
      <c r="E133" s="5">
        <f t="shared" ca="1" si="18"/>
        <v>45950</v>
      </c>
      <c r="F133" s="5">
        <f t="shared" ca="1" si="19"/>
        <v>45953</v>
      </c>
      <c r="G133" s="5">
        <f t="shared" ca="1" si="20"/>
        <v>45953</v>
      </c>
      <c r="H133" s="4"/>
      <c r="I133" s="4" t="str">
        <f t="shared" ca="1" si="21"/>
        <v>On Time</v>
      </c>
      <c r="J133" s="4" t="str">
        <f t="shared" ca="1" si="22"/>
        <v>(2, 7, 4, '2025-10-20', '2025-10-23', '2025-10-23', NULL, 'On Time'),</v>
      </c>
    </row>
    <row r="134" spans="1:10" x14ac:dyDescent="0.3">
      <c r="A134" s="4">
        <f t="shared" si="23"/>
        <v>133</v>
      </c>
      <c r="B134" s="4">
        <f t="shared" ca="1" si="16"/>
        <v>7</v>
      </c>
      <c r="C134" s="4">
        <f t="shared" ca="1" si="16"/>
        <v>7</v>
      </c>
      <c r="D134" s="4">
        <f t="shared" ca="1" si="17"/>
        <v>1</v>
      </c>
      <c r="E134" s="5">
        <f t="shared" ca="1" si="18"/>
        <v>45938</v>
      </c>
      <c r="F134" s="5">
        <f t="shared" ca="1" si="19"/>
        <v>45943</v>
      </c>
      <c r="G134" s="5">
        <f t="shared" ca="1" si="20"/>
        <v>45941</v>
      </c>
      <c r="H134" s="4"/>
      <c r="I134" s="4" t="str">
        <f t="shared" ca="1" si="21"/>
        <v>On Time</v>
      </c>
      <c r="J134" s="4" t="str">
        <f t="shared" ca="1" si="22"/>
        <v>(7, 7, 1, '2025-10-08', '2025-10-13', '2025-10-11', NULL, 'On Time'),</v>
      </c>
    </row>
    <row r="135" spans="1:10" x14ac:dyDescent="0.3">
      <c r="A135" s="4">
        <f t="shared" si="23"/>
        <v>134</v>
      </c>
      <c r="B135" s="4">
        <f t="shared" ca="1" si="16"/>
        <v>4</v>
      </c>
      <c r="C135" s="4">
        <f t="shared" ca="1" si="16"/>
        <v>8</v>
      </c>
      <c r="D135" s="4">
        <f t="shared" ca="1" si="17"/>
        <v>2</v>
      </c>
      <c r="E135" s="5">
        <f t="shared" ca="1" si="18"/>
        <v>45949</v>
      </c>
      <c r="F135" s="5">
        <f t="shared" ca="1" si="19"/>
        <v>45954</v>
      </c>
      <c r="G135" s="5">
        <f t="shared" ca="1" si="20"/>
        <v>45953</v>
      </c>
      <c r="H135" s="4"/>
      <c r="I135" s="4" t="str">
        <f t="shared" ca="1" si="21"/>
        <v>On Time</v>
      </c>
      <c r="J135" s="4" t="str">
        <f t="shared" ca="1" si="22"/>
        <v>(4, 8, 2, '2025-10-19', '2025-10-24', '2025-10-23', NULL, 'On Time'),</v>
      </c>
    </row>
    <row r="136" spans="1:10" x14ac:dyDescent="0.3">
      <c r="A136" s="4">
        <f t="shared" si="23"/>
        <v>135</v>
      </c>
      <c r="B136" s="4">
        <f t="shared" ca="1" si="16"/>
        <v>10</v>
      </c>
      <c r="C136" s="4">
        <f t="shared" ca="1" si="16"/>
        <v>1</v>
      </c>
      <c r="D136" s="4">
        <f t="shared" ca="1" si="17"/>
        <v>3</v>
      </c>
      <c r="E136" s="5">
        <f t="shared" ca="1" si="18"/>
        <v>45879</v>
      </c>
      <c r="F136" s="5">
        <f t="shared" ca="1" si="19"/>
        <v>45882</v>
      </c>
      <c r="G136" s="5">
        <f t="shared" ca="1" si="20"/>
        <v>45881</v>
      </c>
      <c r="H136" s="4"/>
      <c r="I136" s="4" t="str">
        <f t="shared" ca="1" si="21"/>
        <v>On Time</v>
      </c>
      <c r="J136" s="4" t="str">
        <f t="shared" ca="1" si="22"/>
        <v>(10, 1, 3, '2025-08-10', '2025-08-13', '2025-08-12', NULL, 'On Time'),</v>
      </c>
    </row>
    <row r="137" spans="1:10" x14ac:dyDescent="0.3">
      <c r="A137" s="4">
        <f t="shared" si="23"/>
        <v>136</v>
      </c>
      <c r="B137" s="4">
        <f t="shared" ca="1" si="16"/>
        <v>2</v>
      </c>
      <c r="C137" s="4">
        <f t="shared" ca="1" si="16"/>
        <v>8</v>
      </c>
      <c r="D137" s="4">
        <f t="shared" ca="1" si="17"/>
        <v>3</v>
      </c>
      <c r="E137" s="5">
        <f t="shared" ca="1" si="18"/>
        <v>45972</v>
      </c>
      <c r="F137" s="5">
        <f t="shared" ca="1" si="19"/>
        <v>45976</v>
      </c>
      <c r="G137" s="5">
        <f t="shared" ca="1" si="20"/>
        <v>45976</v>
      </c>
      <c r="H137" s="4"/>
      <c r="I137" s="4" t="str">
        <f t="shared" ca="1" si="21"/>
        <v>On Time</v>
      </c>
      <c r="J137" s="4" t="str">
        <f t="shared" ca="1" si="22"/>
        <v>(2, 8, 3, '2025-11-11', '2025-11-15', '2025-11-15', NULL, 'On Time'),</v>
      </c>
    </row>
    <row r="138" spans="1:10" x14ac:dyDescent="0.3">
      <c r="A138" s="4">
        <f t="shared" si="23"/>
        <v>137</v>
      </c>
      <c r="B138" s="4">
        <f t="shared" ca="1" si="16"/>
        <v>3</v>
      </c>
      <c r="C138" s="4">
        <f t="shared" ca="1" si="16"/>
        <v>1</v>
      </c>
      <c r="D138" s="4">
        <f t="shared" ca="1" si="17"/>
        <v>2</v>
      </c>
      <c r="E138" s="5">
        <f t="shared" ca="1" si="18"/>
        <v>45916</v>
      </c>
      <c r="F138" s="5">
        <f t="shared" ca="1" si="19"/>
        <v>45920</v>
      </c>
      <c r="G138" s="5">
        <f t="shared" ca="1" si="20"/>
        <v>45919</v>
      </c>
      <c r="H138" s="4"/>
      <c r="I138" s="4" t="str">
        <f t="shared" ca="1" si="21"/>
        <v>On Time</v>
      </c>
      <c r="J138" s="4" t="str">
        <f t="shared" ca="1" si="22"/>
        <v>(3, 1, 2, '2025-09-16', '2025-09-20', '2025-09-19', NULL, 'On Time'),</v>
      </c>
    </row>
    <row r="139" spans="1:10" x14ac:dyDescent="0.3">
      <c r="A139" s="4">
        <f t="shared" si="23"/>
        <v>138</v>
      </c>
      <c r="B139" s="4">
        <f t="shared" ca="1" si="16"/>
        <v>4</v>
      </c>
      <c r="C139" s="4">
        <f t="shared" ca="1" si="16"/>
        <v>8</v>
      </c>
      <c r="D139" s="4">
        <f t="shared" ca="1" si="17"/>
        <v>5</v>
      </c>
      <c r="E139" s="5">
        <f t="shared" ca="1" si="18"/>
        <v>45916</v>
      </c>
      <c r="F139" s="5">
        <f t="shared" ca="1" si="19"/>
        <v>45921</v>
      </c>
      <c r="G139" s="5">
        <f t="shared" ca="1" si="20"/>
        <v>45921</v>
      </c>
      <c r="H139" s="4"/>
      <c r="I139" s="4" t="str">
        <f t="shared" ca="1" si="21"/>
        <v>On Time</v>
      </c>
      <c r="J139" s="4" t="str">
        <f t="shared" ca="1" si="22"/>
        <v>(4, 8, 5, '2025-09-16', '2025-09-21', '2025-09-21', NULL, 'On Time'),</v>
      </c>
    </row>
    <row r="140" spans="1:10" x14ac:dyDescent="0.3">
      <c r="A140" s="4">
        <f t="shared" si="23"/>
        <v>139</v>
      </c>
      <c r="B140" s="4">
        <f t="shared" ca="1" si="16"/>
        <v>9</v>
      </c>
      <c r="C140" s="4">
        <f t="shared" ca="1" si="16"/>
        <v>8</v>
      </c>
      <c r="D140" s="4">
        <f t="shared" ca="1" si="17"/>
        <v>4</v>
      </c>
      <c r="E140" s="5">
        <f t="shared" ca="1" si="18"/>
        <v>45949</v>
      </c>
      <c r="F140" s="5">
        <f t="shared" ca="1" si="19"/>
        <v>45954</v>
      </c>
      <c r="G140" s="5">
        <f t="shared" ca="1" si="20"/>
        <v>45954</v>
      </c>
      <c r="H140" s="4"/>
      <c r="I140" s="4" t="str">
        <f t="shared" ca="1" si="21"/>
        <v>On Time</v>
      </c>
      <c r="J140" s="4" t="str">
        <f t="shared" ca="1" si="22"/>
        <v>(9, 8, 4, '2025-10-19', '2025-10-24', '2025-10-24', NULL, 'On Time'),</v>
      </c>
    </row>
    <row r="141" spans="1:10" x14ac:dyDescent="0.3">
      <c r="A141" s="4">
        <f t="shared" si="23"/>
        <v>140</v>
      </c>
      <c r="B141" s="4">
        <f t="shared" ca="1" si="16"/>
        <v>2</v>
      </c>
      <c r="C141" s="4">
        <f t="shared" ca="1" si="16"/>
        <v>8</v>
      </c>
      <c r="D141" s="4">
        <f t="shared" ca="1" si="17"/>
        <v>1</v>
      </c>
      <c r="E141" s="5">
        <f t="shared" ca="1" si="18"/>
        <v>45881</v>
      </c>
      <c r="F141" s="5">
        <f t="shared" ca="1" si="19"/>
        <v>45886</v>
      </c>
      <c r="G141" s="5">
        <f t="shared" ca="1" si="20"/>
        <v>45884</v>
      </c>
      <c r="H141" s="4"/>
      <c r="I141" s="4" t="str">
        <f t="shared" ca="1" si="21"/>
        <v>On Time</v>
      </c>
      <c r="J141" s="4" t="str">
        <f t="shared" ca="1" si="22"/>
        <v>(2, 8, 1, '2025-08-12', '2025-08-17', '2025-08-15', NULL, 'On Time'),</v>
      </c>
    </row>
    <row r="142" spans="1:10" x14ac:dyDescent="0.3">
      <c r="A142" s="4">
        <f t="shared" si="23"/>
        <v>141</v>
      </c>
      <c r="B142" s="4">
        <f t="shared" ca="1" si="16"/>
        <v>3</v>
      </c>
      <c r="C142" s="4">
        <f t="shared" ca="1" si="16"/>
        <v>1</v>
      </c>
      <c r="D142" s="4">
        <f t="shared" ca="1" si="17"/>
        <v>1</v>
      </c>
      <c r="E142" s="5">
        <f t="shared" ca="1" si="18"/>
        <v>45999</v>
      </c>
      <c r="F142" s="5">
        <f t="shared" ca="1" si="19"/>
        <v>46003</v>
      </c>
      <c r="G142" s="5">
        <f ca="1" xml:space="preserve"> F142 + RANDBETWEEN(1, 3)</f>
        <v>46006</v>
      </c>
      <c r="H142" s="4" t="str" cm="1">
        <f t="array" aca="1" ref="H142" ca="1" xml:space="preserve"> INDEX({"DR01","DR02","DR03","DR04","DR05"}, RANDBETWEEN(1, 5))</f>
        <v>DR05</v>
      </c>
      <c r="I142" s="4" t="str">
        <f t="shared" ca="1" si="21"/>
        <v>Delayed</v>
      </c>
      <c r="J142" s="4" t="str">
        <f t="shared" ca="1" si="22"/>
        <v>(3, 1, 1, '2025-12-08', '2025-12-12', '2025-12-15', 'DR05', 'Delayed'),</v>
      </c>
    </row>
    <row r="143" spans="1:10" x14ac:dyDescent="0.3">
      <c r="A143" s="4">
        <f t="shared" si="23"/>
        <v>142</v>
      </c>
      <c r="B143" s="4">
        <f t="shared" ca="1" si="16"/>
        <v>2</v>
      </c>
      <c r="C143" s="4">
        <f t="shared" ca="1" si="16"/>
        <v>9</v>
      </c>
      <c r="D143" s="4">
        <f t="shared" ca="1" si="17"/>
        <v>3</v>
      </c>
      <c r="E143" s="5">
        <f t="shared" ca="1" si="18"/>
        <v>45998</v>
      </c>
      <c r="F143" s="5">
        <f t="shared" ca="1" si="19"/>
        <v>46003</v>
      </c>
      <c r="G143" s="5">
        <f t="shared" ref="G143:G181" ca="1" si="24" xml:space="preserve"> F143 + RANDBETWEEN(1, 3)</f>
        <v>46004</v>
      </c>
      <c r="H143" s="4" t="str" cm="1">
        <f t="array" aca="1" ref="H143" ca="1" xml:space="preserve"> INDEX({"DR01","DR02","DR03","DR04","DR05"}, RANDBETWEEN(1, 5))</f>
        <v>DR02</v>
      </c>
      <c r="I143" s="4" t="str">
        <f t="shared" ca="1" si="21"/>
        <v>Delayed</v>
      </c>
      <c r="J143" s="4" t="str">
        <f t="shared" ca="1" si="22"/>
        <v>(2, 9, 3, '2025-12-07', '2025-12-12', '2025-12-13', 'DR02', 'Delayed'),</v>
      </c>
    </row>
    <row r="144" spans="1:10" x14ac:dyDescent="0.3">
      <c r="A144" s="4">
        <f t="shared" si="23"/>
        <v>143</v>
      </c>
      <c r="B144" s="4">
        <f t="shared" ca="1" si="16"/>
        <v>2</v>
      </c>
      <c r="C144" s="4">
        <f t="shared" ca="1" si="16"/>
        <v>5</v>
      </c>
      <c r="D144" s="4">
        <f t="shared" ca="1" si="17"/>
        <v>5</v>
      </c>
      <c r="E144" s="5">
        <f t="shared" ca="1" si="18"/>
        <v>46010</v>
      </c>
      <c r="F144" s="5">
        <f t="shared" ca="1" si="19"/>
        <v>46014</v>
      </c>
      <c r="G144" s="5">
        <f t="shared" ca="1" si="24"/>
        <v>46017</v>
      </c>
      <c r="H144" s="4" t="str" cm="1">
        <f t="array" aca="1" ref="H144" ca="1" xml:space="preserve"> INDEX({"DR01","DR02","DR03","DR04","DR05"}, RANDBETWEEN(1, 5))</f>
        <v>DR04</v>
      </c>
      <c r="I144" s="4" t="str">
        <f t="shared" ca="1" si="21"/>
        <v>Delayed</v>
      </c>
      <c r="J144" s="4" t="str">
        <f t="shared" ca="1" si="22"/>
        <v>(2, 5, 5, '2025-12-19', '2025-12-23', '2025-12-26', 'DR04', 'Delayed'),</v>
      </c>
    </row>
    <row r="145" spans="1:10" x14ac:dyDescent="0.3">
      <c r="A145" s="4">
        <f t="shared" si="23"/>
        <v>144</v>
      </c>
      <c r="B145" s="4">
        <f t="shared" ca="1" si="16"/>
        <v>6</v>
      </c>
      <c r="C145" s="4">
        <f t="shared" ca="1" si="16"/>
        <v>8</v>
      </c>
      <c r="D145" s="4">
        <f t="shared" ca="1" si="17"/>
        <v>5</v>
      </c>
      <c r="E145" s="5">
        <f t="shared" ca="1" si="18"/>
        <v>45875</v>
      </c>
      <c r="F145" s="5">
        <f t="shared" ca="1" si="19"/>
        <v>45880</v>
      </c>
      <c r="G145" s="5">
        <f t="shared" ca="1" si="24"/>
        <v>45883</v>
      </c>
      <c r="H145" s="4" t="str" cm="1">
        <f t="array" aca="1" ref="H145" ca="1" xml:space="preserve"> INDEX({"DR01","DR02","DR03","DR04","DR05"}, RANDBETWEEN(1, 5))</f>
        <v>DR05</v>
      </c>
      <c r="I145" s="4" t="str">
        <f t="shared" ca="1" si="21"/>
        <v>Delayed</v>
      </c>
      <c r="J145" s="4" t="str">
        <f t="shared" ca="1" si="22"/>
        <v>(6, 8, 5, '2025-08-06', '2025-08-11', '2025-08-14', 'DR05', 'Delayed'),</v>
      </c>
    </row>
    <row r="146" spans="1:10" x14ac:dyDescent="0.3">
      <c r="A146" s="4">
        <f t="shared" si="23"/>
        <v>145</v>
      </c>
      <c r="B146" s="4">
        <f t="shared" ca="1" si="16"/>
        <v>6</v>
      </c>
      <c r="C146" s="4">
        <f t="shared" ca="1" si="16"/>
        <v>3</v>
      </c>
      <c r="D146" s="4">
        <f t="shared" ca="1" si="17"/>
        <v>1</v>
      </c>
      <c r="E146" s="5">
        <f t="shared" ca="1" si="18"/>
        <v>45956</v>
      </c>
      <c r="F146" s="5">
        <f t="shared" ca="1" si="19"/>
        <v>45960</v>
      </c>
      <c r="G146" s="5">
        <f t="shared" ca="1" si="24"/>
        <v>45961</v>
      </c>
      <c r="H146" s="4" t="str" cm="1">
        <f t="array" aca="1" ref="H146" ca="1" xml:space="preserve"> INDEX({"DR01","DR02","DR03","DR04","DR05"}, RANDBETWEEN(1, 5))</f>
        <v>DR03</v>
      </c>
      <c r="I146" s="4" t="str">
        <f t="shared" ca="1" si="21"/>
        <v>Delayed</v>
      </c>
      <c r="J146" s="4" t="str">
        <f t="shared" ca="1" si="22"/>
        <v>(6, 3, 1, '2025-10-26', '2025-10-30', '2025-10-31', 'DR03', 'Delayed'),</v>
      </c>
    </row>
    <row r="147" spans="1:10" x14ac:dyDescent="0.3">
      <c r="A147" s="4">
        <f t="shared" si="23"/>
        <v>146</v>
      </c>
      <c r="B147" s="4">
        <f t="shared" ca="1" si="16"/>
        <v>2</v>
      </c>
      <c r="C147" s="4">
        <f t="shared" ca="1" si="16"/>
        <v>6</v>
      </c>
      <c r="D147" s="4">
        <f t="shared" ca="1" si="17"/>
        <v>5</v>
      </c>
      <c r="E147" s="5">
        <f t="shared" ca="1" si="18"/>
        <v>45888</v>
      </c>
      <c r="F147" s="5">
        <f t="shared" ca="1" si="19"/>
        <v>45891</v>
      </c>
      <c r="G147" s="5">
        <f t="shared" ca="1" si="24"/>
        <v>45893</v>
      </c>
      <c r="H147" s="4" t="str" cm="1">
        <f t="array" aca="1" ref="H147" ca="1" xml:space="preserve"> INDEX({"DR01","DR02","DR03","DR04","DR05"}, RANDBETWEEN(1, 5))</f>
        <v>DR03</v>
      </c>
      <c r="I147" s="4" t="str">
        <f t="shared" ca="1" si="21"/>
        <v>Delayed</v>
      </c>
      <c r="J147" s="4" t="str">
        <f t="shared" ca="1" si="22"/>
        <v>(2, 6, 5, '2025-08-19', '2025-08-22', '2025-08-24', 'DR03', 'Delayed'),</v>
      </c>
    </row>
    <row r="148" spans="1:10" x14ac:dyDescent="0.3">
      <c r="A148" s="4">
        <f t="shared" si="23"/>
        <v>147</v>
      </c>
      <c r="B148" s="4">
        <f t="shared" ca="1" si="16"/>
        <v>1</v>
      </c>
      <c r="C148" s="4">
        <f t="shared" ca="1" si="16"/>
        <v>1</v>
      </c>
      <c r="D148" s="4">
        <f t="shared" ca="1" si="17"/>
        <v>3</v>
      </c>
      <c r="E148" s="5">
        <f t="shared" ca="1" si="18"/>
        <v>45937</v>
      </c>
      <c r="F148" s="5">
        <f t="shared" ca="1" si="19"/>
        <v>45942</v>
      </c>
      <c r="G148" s="5">
        <f t="shared" ca="1" si="24"/>
        <v>45945</v>
      </c>
      <c r="H148" s="4" t="str" cm="1">
        <f t="array" aca="1" ref="H148" ca="1" xml:space="preserve"> INDEX({"DR01","DR02","DR03","DR04","DR05"}, RANDBETWEEN(1, 5))</f>
        <v>DR04</v>
      </c>
      <c r="I148" s="4" t="str">
        <f t="shared" ca="1" si="21"/>
        <v>Delayed</v>
      </c>
      <c r="J148" s="4" t="str">
        <f t="shared" ca="1" si="22"/>
        <v>(1, 1, 3, '2025-10-07', '2025-10-12', '2025-10-15', 'DR04', 'Delayed'),</v>
      </c>
    </row>
    <row r="149" spans="1:10" x14ac:dyDescent="0.3">
      <c r="A149" s="4">
        <f t="shared" si="23"/>
        <v>148</v>
      </c>
      <c r="B149" s="4">
        <f t="shared" ca="1" si="16"/>
        <v>10</v>
      </c>
      <c r="C149" s="4">
        <f t="shared" ca="1" si="16"/>
        <v>6</v>
      </c>
      <c r="D149" s="4">
        <f t="shared" ca="1" si="17"/>
        <v>4</v>
      </c>
      <c r="E149" s="5">
        <f t="shared" ca="1" si="18"/>
        <v>45861</v>
      </c>
      <c r="F149" s="5">
        <f t="shared" ca="1" si="19"/>
        <v>45866</v>
      </c>
      <c r="G149" s="5">
        <f t="shared" ca="1" si="24"/>
        <v>45868</v>
      </c>
      <c r="H149" s="4" t="str" cm="1">
        <f t="array" aca="1" ref="H149" ca="1" xml:space="preserve"> INDEX({"DR01","DR02","DR03","DR04","DR05"}, RANDBETWEEN(1, 5))</f>
        <v>DR02</v>
      </c>
      <c r="I149" s="4" t="str">
        <f t="shared" ca="1" si="21"/>
        <v>Delayed</v>
      </c>
      <c r="J149" s="4" t="str">
        <f t="shared" ca="1" si="22"/>
        <v>(10, 6, 4, '2025-07-23', '2025-07-28', '2025-07-30', 'DR02', 'Delayed'),</v>
      </c>
    </row>
    <row r="150" spans="1:10" x14ac:dyDescent="0.3">
      <c r="A150" s="4">
        <f t="shared" si="23"/>
        <v>149</v>
      </c>
      <c r="B150" s="4">
        <f t="shared" ca="1" si="16"/>
        <v>9</v>
      </c>
      <c r="C150" s="4">
        <f t="shared" ca="1" si="16"/>
        <v>7</v>
      </c>
      <c r="D150" s="4">
        <f t="shared" ca="1" si="17"/>
        <v>5</v>
      </c>
      <c r="E150" s="5">
        <f t="shared" ca="1" si="18"/>
        <v>46000</v>
      </c>
      <c r="F150" s="5">
        <f t="shared" ca="1" si="19"/>
        <v>46004</v>
      </c>
      <c r="G150" s="5">
        <f t="shared" ca="1" si="24"/>
        <v>46005</v>
      </c>
      <c r="H150" s="4" t="str" cm="1">
        <f t="array" aca="1" ref="H150" ca="1" xml:space="preserve"> INDEX({"DR01","DR02","DR03","DR04","DR05"}, RANDBETWEEN(1, 5))</f>
        <v>DR03</v>
      </c>
      <c r="I150" s="4" t="str">
        <f t="shared" ca="1" si="21"/>
        <v>Delayed</v>
      </c>
      <c r="J150" s="4" t="str">
        <f t="shared" ca="1" si="22"/>
        <v>(9, 7, 5, '2025-12-09', '2025-12-13', '2025-12-14', 'DR03', 'Delayed'),</v>
      </c>
    </row>
    <row r="151" spans="1:10" x14ac:dyDescent="0.3">
      <c r="A151" s="4">
        <f t="shared" si="23"/>
        <v>150</v>
      </c>
      <c r="B151" s="4">
        <f t="shared" ca="1" si="16"/>
        <v>9</v>
      </c>
      <c r="C151" s="4">
        <f t="shared" ca="1" si="16"/>
        <v>7</v>
      </c>
      <c r="D151" s="4">
        <f t="shared" ca="1" si="17"/>
        <v>4</v>
      </c>
      <c r="E151" s="5">
        <f t="shared" ca="1" si="18"/>
        <v>46014</v>
      </c>
      <c r="F151" s="5">
        <f t="shared" ca="1" si="19"/>
        <v>46018</v>
      </c>
      <c r="G151" s="5">
        <f t="shared" ca="1" si="24"/>
        <v>46019</v>
      </c>
      <c r="H151" s="4" t="str" cm="1">
        <f t="array" aca="1" ref="H151" ca="1" xml:space="preserve"> INDEX({"DR01","DR02","DR03","DR04","DR05"}, RANDBETWEEN(1, 5))</f>
        <v>DR02</v>
      </c>
      <c r="I151" s="4" t="str">
        <f t="shared" ca="1" si="21"/>
        <v>Delayed</v>
      </c>
      <c r="J151" s="4" t="str">
        <f t="shared" ca="1" si="22"/>
        <v>(9, 7, 4, '2025-12-23', '2025-12-27', '2025-12-28', 'DR02', 'Delayed'),</v>
      </c>
    </row>
    <row r="152" spans="1:10" x14ac:dyDescent="0.3">
      <c r="A152" s="4">
        <f t="shared" si="23"/>
        <v>151</v>
      </c>
      <c r="B152" s="4">
        <f t="shared" ca="1" si="16"/>
        <v>3</v>
      </c>
      <c r="C152" s="4">
        <f t="shared" ca="1" si="16"/>
        <v>8</v>
      </c>
      <c r="D152" s="4">
        <f t="shared" ca="1" si="17"/>
        <v>2</v>
      </c>
      <c r="E152" s="5">
        <f t="shared" ca="1" si="18"/>
        <v>46015</v>
      </c>
      <c r="F152" s="5">
        <f t="shared" ca="1" si="19"/>
        <v>46018</v>
      </c>
      <c r="G152" s="5">
        <f t="shared" ca="1" si="24"/>
        <v>46019</v>
      </c>
      <c r="H152" s="4" t="str" cm="1">
        <f t="array" aca="1" ref="H152" ca="1" xml:space="preserve"> INDEX({"DR01","DR02","DR03","DR04","DR05"}, RANDBETWEEN(1, 5))</f>
        <v>DR05</v>
      </c>
      <c r="I152" s="4" t="str">
        <f t="shared" ca="1" si="21"/>
        <v>Delayed</v>
      </c>
      <c r="J152" s="4" t="str">
        <f t="shared" ca="1" si="22"/>
        <v>(3, 8, 2, '2025-12-24', '2025-12-27', '2025-12-28', 'DR05', 'Delayed'),</v>
      </c>
    </row>
    <row r="153" spans="1:10" x14ac:dyDescent="0.3">
      <c r="A153" s="4">
        <f t="shared" si="23"/>
        <v>152</v>
      </c>
      <c r="B153" s="4">
        <f t="shared" ca="1" si="16"/>
        <v>1</v>
      </c>
      <c r="C153" s="4">
        <f t="shared" ca="1" si="16"/>
        <v>3</v>
      </c>
      <c r="D153" s="4">
        <f t="shared" ca="1" si="17"/>
        <v>5</v>
      </c>
      <c r="E153" s="5">
        <f t="shared" ca="1" si="18"/>
        <v>45997</v>
      </c>
      <c r="F153" s="5">
        <f t="shared" ca="1" si="19"/>
        <v>46000</v>
      </c>
      <c r="G153" s="5">
        <f t="shared" ca="1" si="24"/>
        <v>46002</v>
      </c>
      <c r="H153" s="4" t="str" cm="1">
        <f t="array" aca="1" ref="H153" ca="1" xml:space="preserve"> INDEX({"DR01","DR02","DR03","DR04","DR05"}, RANDBETWEEN(1, 5))</f>
        <v>DR04</v>
      </c>
      <c r="I153" s="4" t="str">
        <f t="shared" ca="1" si="21"/>
        <v>Delayed</v>
      </c>
      <c r="J153" s="4" t="str">
        <f t="shared" ca="1" si="22"/>
        <v>(1, 3, 5, '2025-12-06', '2025-12-09', '2025-12-11', 'DR04', 'Delayed'),</v>
      </c>
    </row>
    <row r="154" spans="1:10" x14ac:dyDescent="0.3">
      <c r="A154" s="4">
        <f t="shared" si="23"/>
        <v>153</v>
      </c>
      <c r="B154" s="4">
        <f t="shared" ca="1" si="16"/>
        <v>3</v>
      </c>
      <c r="C154" s="4">
        <f t="shared" ca="1" si="16"/>
        <v>10</v>
      </c>
      <c r="D154" s="4">
        <f t="shared" ca="1" si="17"/>
        <v>3</v>
      </c>
      <c r="E154" s="5">
        <f t="shared" ca="1" si="18"/>
        <v>45885</v>
      </c>
      <c r="F154" s="5">
        <f t="shared" ca="1" si="19"/>
        <v>45888</v>
      </c>
      <c r="G154" s="5">
        <f t="shared" ca="1" si="24"/>
        <v>45889</v>
      </c>
      <c r="H154" s="4" t="str" cm="1">
        <f t="array" aca="1" ref="H154" ca="1" xml:space="preserve"> INDEX({"DR01","DR02","DR03","DR04","DR05"}, RANDBETWEEN(1, 5))</f>
        <v>DR04</v>
      </c>
      <c r="I154" s="4" t="str">
        <f t="shared" ca="1" si="21"/>
        <v>Delayed</v>
      </c>
      <c r="J154" s="4" t="str">
        <f t="shared" ca="1" si="22"/>
        <v>(3, 10, 3, '2025-08-16', '2025-08-19', '2025-08-20', 'DR04', 'Delayed'),</v>
      </c>
    </row>
    <row r="155" spans="1:10" x14ac:dyDescent="0.3">
      <c r="A155" s="4">
        <f t="shared" si="23"/>
        <v>154</v>
      </c>
      <c r="B155" s="4">
        <f t="shared" ca="1" si="16"/>
        <v>1</v>
      </c>
      <c r="C155" s="4">
        <f t="shared" ca="1" si="16"/>
        <v>7</v>
      </c>
      <c r="D155" s="4">
        <f t="shared" ca="1" si="17"/>
        <v>2</v>
      </c>
      <c r="E155" s="5">
        <f t="shared" ca="1" si="18"/>
        <v>45903</v>
      </c>
      <c r="F155" s="5">
        <f t="shared" ca="1" si="19"/>
        <v>45907</v>
      </c>
      <c r="G155" s="5">
        <f t="shared" ca="1" si="24"/>
        <v>45909</v>
      </c>
      <c r="H155" s="4" t="str" cm="1">
        <f t="array" aca="1" ref="H155" ca="1" xml:space="preserve"> INDEX({"DR01","DR02","DR03","DR04","DR05"}, RANDBETWEEN(1, 5))</f>
        <v>DR03</v>
      </c>
      <c r="I155" s="4" t="str">
        <f t="shared" ca="1" si="21"/>
        <v>Delayed</v>
      </c>
      <c r="J155" s="4" t="str">
        <f t="shared" ca="1" si="22"/>
        <v>(1, 7, 2, '2025-09-03', '2025-09-07', '2025-09-09', 'DR03', 'Delayed'),</v>
      </c>
    </row>
    <row r="156" spans="1:10" x14ac:dyDescent="0.3">
      <c r="A156" s="4">
        <f t="shared" si="23"/>
        <v>155</v>
      </c>
      <c r="B156" s="4">
        <f t="shared" ca="1" si="16"/>
        <v>1</v>
      </c>
      <c r="C156" s="4">
        <f t="shared" ca="1" si="16"/>
        <v>9</v>
      </c>
      <c r="D156" s="4">
        <f t="shared" ca="1" si="17"/>
        <v>3</v>
      </c>
      <c r="E156" s="5">
        <f t="shared" ca="1" si="18"/>
        <v>45990</v>
      </c>
      <c r="F156" s="5">
        <f t="shared" ca="1" si="19"/>
        <v>45993</v>
      </c>
      <c r="G156" s="5">
        <f t="shared" ca="1" si="24"/>
        <v>45994</v>
      </c>
      <c r="H156" s="4" t="str" cm="1">
        <f t="array" aca="1" ref="H156" ca="1" xml:space="preserve"> INDEX({"DR01","DR02","DR03","DR04","DR05"}, RANDBETWEEN(1, 5))</f>
        <v>DR05</v>
      </c>
      <c r="I156" s="4" t="str">
        <f t="shared" ca="1" si="21"/>
        <v>Delayed</v>
      </c>
      <c r="J156" s="4" t="str">
        <f t="shared" ca="1" si="22"/>
        <v>(1, 9, 3, '2025-11-29', '2025-12-02', '2025-12-03', 'DR05', 'Delayed'),</v>
      </c>
    </row>
    <row r="157" spans="1:10" x14ac:dyDescent="0.3">
      <c r="A157" s="4">
        <f t="shared" si="23"/>
        <v>156</v>
      </c>
      <c r="B157" s="4">
        <f t="shared" ca="1" si="16"/>
        <v>10</v>
      </c>
      <c r="C157" s="4">
        <f t="shared" ca="1" si="16"/>
        <v>6</v>
      </c>
      <c r="D157" s="4">
        <f t="shared" ca="1" si="17"/>
        <v>1</v>
      </c>
      <c r="E157" s="5">
        <f t="shared" ca="1" si="18"/>
        <v>45860</v>
      </c>
      <c r="F157" s="5">
        <f t="shared" ca="1" si="19"/>
        <v>45863</v>
      </c>
      <c r="G157" s="5">
        <f t="shared" ca="1" si="24"/>
        <v>45865</v>
      </c>
      <c r="H157" s="4" t="str" cm="1">
        <f t="array" aca="1" ref="H157" ca="1" xml:space="preserve"> INDEX({"DR01","DR02","DR03","DR04","DR05"}, RANDBETWEEN(1, 5))</f>
        <v>DR03</v>
      </c>
      <c r="I157" s="4" t="str">
        <f t="shared" ca="1" si="21"/>
        <v>Delayed</v>
      </c>
      <c r="J157" s="4" t="str">
        <f t="shared" ca="1" si="22"/>
        <v>(10, 6, 1, '2025-07-22', '2025-07-25', '2025-07-27', 'DR03', 'Delayed'),</v>
      </c>
    </row>
    <row r="158" spans="1:10" x14ac:dyDescent="0.3">
      <c r="A158" s="4">
        <f t="shared" si="23"/>
        <v>157</v>
      </c>
      <c r="B158" s="4">
        <f t="shared" ca="1" si="16"/>
        <v>7</v>
      </c>
      <c r="C158" s="4">
        <f t="shared" ca="1" si="16"/>
        <v>10</v>
      </c>
      <c r="D158" s="4">
        <f t="shared" ca="1" si="17"/>
        <v>3</v>
      </c>
      <c r="E158" s="5">
        <f t="shared" ca="1" si="18"/>
        <v>45906</v>
      </c>
      <c r="F158" s="5">
        <f t="shared" ca="1" si="19"/>
        <v>45911</v>
      </c>
      <c r="G158" s="5">
        <f t="shared" ca="1" si="24"/>
        <v>45914</v>
      </c>
      <c r="H158" s="4" t="str" cm="1">
        <f t="array" aca="1" ref="H158" ca="1" xml:space="preserve"> INDEX({"DR01","DR02","DR03","DR04","DR05"}, RANDBETWEEN(1, 5))</f>
        <v>DR03</v>
      </c>
      <c r="I158" s="4" t="str">
        <f t="shared" ca="1" si="21"/>
        <v>Delayed</v>
      </c>
      <c r="J158" s="4" t="str">
        <f t="shared" ca="1" si="22"/>
        <v>(7, 10, 3, '2025-09-06', '2025-09-11', '2025-09-14', 'DR03', 'Delayed'),</v>
      </c>
    </row>
    <row r="159" spans="1:10" x14ac:dyDescent="0.3">
      <c r="A159" s="4">
        <f t="shared" si="23"/>
        <v>158</v>
      </c>
      <c r="B159" s="4">
        <f t="shared" ca="1" si="16"/>
        <v>10</v>
      </c>
      <c r="C159" s="4">
        <f t="shared" ca="1" si="16"/>
        <v>3</v>
      </c>
      <c r="D159" s="4">
        <f t="shared" ca="1" si="17"/>
        <v>1</v>
      </c>
      <c r="E159" s="5">
        <f t="shared" ca="1" si="18"/>
        <v>45844</v>
      </c>
      <c r="F159" s="5">
        <f t="shared" ca="1" si="19"/>
        <v>45849</v>
      </c>
      <c r="G159" s="5">
        <f t="shared" ca="1" si="24"/>
        <v>45850</v>
      </c>
      <c r="H159" s="4" t="str" cm="1">
        <f t="array" aca="1" ref="H159" ca="1" xml:space="preserve"> INDEX({"DR01","DR02","DR03","DR04","DR05"}, RANDBETWEEN(1, 5))</f>
        <v>DR04</v>
      </c>
      <c r="I159" s="4" t="str">
        <f t="shared" ca="1" si="21"/>
        <v>Delayed</v>
      </c>
      <c r="J159" s="4" t="str">
        <f t="shared" ca="1" si="22"/>
        <v>(10, 3, 1, '2025-07-06', '2025-07-11', '2025-07-12', 'DR04', 'Delayed'),</v>
      </c>
    </row>
    <row r="160" spans="1:10" x14ac:dyDescent="0.3">
      <c r="A160" s="4">
        <f t="shared" si="23"/>
        <v>159</v>
      </c>
      <c r="B160" s="4">
        <f t="shared" ca="1" si="16"/>
        <v>2</v>
      </c>
      <c r="C160" s="4">
        <f t="shared" ca="1" si="16"/>
        <v>10</v>
      </c>
      <c r="D160" s="4">
        <f t="shared" ca="1" si="17"/>
        <v>1</v>
      </c>
      <c r="E160" s="5">
        <f t="shared" ca="1" si="18"/>
        <v>45862</v>
      </c>
      <c r="F160" s="5">
        <f t="shared" ca="1" si="19"/>
        <v>45865</v>
      </c>
      <c r="G160" s="5">
        <f t="shared" ca="1" si="24"/>
        <v>45867</v>
      </c>
      <c r="H160" s="4" t="str" cm="1">
        <f t="array" aca="1" ref="H160" ca="1" xml:space="preserve"> INDEX({"DR01","DR02","DR03","DR04","DR05"}, RANDBETWEEN(1, 5))</f>
        <v>DR01</v>
      </c>
      <c r="I160" s="4" t="str">
        <f t="shared" ca="1" si="21"/>
        <v>Delayed</v>
      </c>
      <c r="J160" s="4" t="str">
        <f t="shared" ca="1" si="22"/>
        <v>(2, 10, 1, '2025-07-24', '2025-07-27', '2025-07-29', 'DR01', 'Delayed'),</v>
      </c>
    </row>
    <row r="161" spans="1:10" x14ac:dyDescent="0.3">
      <c r="A161" s="4">
        <f t="shared" si="23"/>
        <v>160</v>
      </c>
      <c r="B161" s="4">
        <f t="shared" ca="1" si="16"/>
        <v>5</v>
      </c>
      <c r="C161" s="4">
        <f t="shared" ca="1" si="16"/>
        <v>10</v>
      </c>
      <c r="D161" s="4">
        <f t="shared" ca="1" si="17"/>
        <v>2</v>
      </c>
      <c r="E161" s="5">
        <f t="shared" ca="1" si="18"/>
        <v>45849</v>
      </c>
      <c r="F161" s="5">
        <f t="shared" ca="1" si="19"/>
        <v>45852</v>
      </c>
      <c r="G161" s="5">
        <f t="shared" ca="1" si="24"/>
        <v>45855</v>
      </c>
      <c r="H161" s="4" t="str" cm="1">
        <f t="array" aca="1" ref="H161" ca="1" xml:space="preserve"> INDEX({"DR01","DR02","DR03","DR04","DR05"}, RANDBETWEEN(1, 5))</f>
        <v>DR04</v>
      </c>
      <c r="I161" s="4" t="str">
        <f t="shared" ca="1" si="21"/>
        <v>Delayed</v>
      </c>
      <c r="J161" s="4" t="str">
        <f t="shared" ca="1" si="22"/>
        <v>(5, 10, 2, '2025-07-11', '2025-07-14', '2025-07-17', 'DR04', 'Delayed'),</v>
      </c>
    </row>
    <row r="162" spans="1:10" x14ac:dyDescent="0.3">
      <c r="A162" s="4">
        <f t="shared" si="23"/>
        <v>161</v>
      </c>
      <c r="B162" s="4">
        <f t="shared" ca="1" si="16"/>
        <v>8</v>
      </c>
      <c r="C162" s="4">
        <f t="shared" ca="1" si="16"/>
        <v>7</v>
      </c>
      <c r="D162" s="4">
        <f t="shared" ca="1" si="17"/>
        <v>2</v>
      </c>
      <c r="E162" s="5">
        <f t="shared" ca="1" si="18"/>
        <v>45931</v>
      </c>
      <c r="F162" s="5">
        <f t="shared" ca="1" si="19"/>
        <v>45934</v>
      </c>
      <c r="G162" s="5">
        <f t="shared" ca="1" si="24"/>
        <v>45936</v>
      </c>
      <c r="H162" s="4" t="str" cm="1">
        <f t="array" aca="1" ref="H162" ca="1" xml:space="preserve"> INDEX({"DR01","DR02","DR03","DR04","DR05"}, RANDBETWEEN(1, 5))</f>
        <v>DR01</v>
      </c>
      <c r="I162" s="4" t="str">
        <f t="shared" ca="1" si="21"/>
        <v>Delayed</v>
      </c>
      <c r="J162" s="4" t="str">
        <f t="shared" ca="1" si="22"/>
        <v>(8, 7, 2, '2025-10-01', '2025-10-04', '2025-10-06', 'DR01', 'Delayed'),</v>
      </c>
    </row>
    <row r="163" spans="1:10" x14ac:dyDescent="0.3">
      <c r="A163" s="4">
        <f t="shared" si="23"/>
        <v>162</v>
      </c>
      <c r="B163" s="4">
        <f t="shared" ca="1" si="16"/>
        <v>9</v>
      </c>
      <c r="C163" s="4">
        <f t="shared" ca="1" si="16"/>
        <v>9</v>
      </c>
      <c r="D163" s="4">
        <f t="shared" ca="1" si="17"/>
        <v>3</v>
      </c>
      <c r="E163" s="5">
        <f t="shared" ca="1" si="18"/>
        <v>45894</v>
      </c>
      <c r="F163" s="5">
        <f t="shared" ca="1" si="19"/>
        <v>45898</v>
      </c>
      <c r="G163" s="5">
        <f t="shared" ca="1" si="24"/>
        <v>45900</v>
      </c>
      <c r="H163" s="4" t="str" cm="1">
        <f t="array" aca="1" ref="H163" ca="1" xml:space="preserve"> INDEX({"DR01","DR02","DR03","DR04","DR05"}, RANDBETWEEN(1, 5))</f>
        <v>DR05</v>
      </c>
      <c r="I163" s="4" t="str">
        <f t="shared" ca="1" si="21"/>
        <v>Delayed</v>
      </c>
      <c r="J163" s="4" t="str">
        <f t="shared" ca="1" si="22"/>
        <v>(9, 9, 3, '2025-08-25', '2025-08-29', '2025-08-31', 'DR05', 'Delayed'),</v>
      </c>
    </row>
    <row r="164" spans="1:10" x14ac:dyDescent="0.3">
      <c r="A164" s="4">
        <f t="shared" si="23"/>
        <v>163</v>
      </c>
      <c r="B164" s="4">
        <f t="shared" ca="1" si="16"/>
        <v>3</v>
      </c>
      <c r="C164" s="4">
        <f t="shared" ca="1" si="16"/>
        <v>2</v>
      </c>
      <c r="D164" s="4">
        <f t="shared" ca="1" si="17"/>
        <v>5</v>
      </c>
      <c r="E164" s="5">
        <f t="shared" ca="1" si="18"/>
        <v>46013</v>
      </c>
      <c r="F164" s="5">
        <f t="shared" ca="1" si="19"/>
        <v>46018</v>
      </c>
      <c r="G164" s="5">
        <f t="shared" ca="1" si="24"/>
        <v>46021</v>
      </c>
      <c r="H164" s="4" t="str" cm="1">
        <f t="array" aca="1" ref="H164" ca="1" xml:space="preserve"> INDEX({"DR01","DR02","DR03","DR04","DR05"}, RANDBETWEEN(1, 5))</f>
        <v>DR01</v>
      </c>
      <c r="I164" s="4" t="str">
        <f t="shared" ca="1" si="21"/>
        <v>Delayed</v>
      </c>
      <c r="J164" s="4" t="str">
        <f t="shared" ca="1" si="22"/>
        <v>(3, 2, 5, '2025-12-22', '2025-12-27', '2025-12-30', 'DR01', 'Delayed'),</v>
      </c>
    </row>
    <row r="165" spans="1:10" x14ac:dyDescent="0.3">
      <c r="A165" s="4">
        <f t="shared" si="23"/>
        <v>164</v>
      </c>
      <c r="B165" s="4">
        <f t="shared" ca="1" si="16"/>
        <v>2</v>
      </c>
      <c r="C165" s="4">
        <f t="shared" ca="1" si="16"/>
        <v>7</v>
      </c>
      <c r="D165" s="4">
        <f t="shared" ca="1" si="17"/>
        <v>3</v>
      </c>
      <c r="E165" s="5">
        <f t="shared" ca="1" si="18"/>
        <v>45869</v>
      </c>
      <c r="F165" s="5">
        <f t="shared" ca="1" si="19"/>
        <v>45872</v>
      </c>
      <c r="G165" s="5">
        <f t="shared" ca="1" si="24"/>
        <v>45873</v>
      </c>
      <c r="H165" s="4" t="str" cm="1">
        <f t="array" aca="1" ref="H165" ca="1" xml:space="preserve"> INDEX({"DR01","DR02","DR03","DR04","DR05"}, RANDBETWEEN(1, 5))</f>
        <v>DR05</v>
      </c>
      <c r="I165" s="4" t="str">
        <f t="shared" ca="1" si="21"/>
        <v>Delayed</v>
      </c>
      <c r="J165" s="4" t="str">
        <f t="shared" ca="1" si="22"/>
        <v>(2, 7, 3, '2025-07-31', '2025-08-03', '2025-08-04', 'DR05', 'Delayed'),</v>
      </c>
    </row>
    <row r="166" spans="1:10" x14ac:dyDescent="0.3">
      <c r="A166" s="4">
        <f t="shared" si="23"/>
        <v>165</v>
      </c>
      <c r="B166" s="4">
        <f t="shared" ca="1" si="16"/>
        <v>10</v>
      </c>
      <c r="C166" s="4">
        <f t="shared" ca="1" si="16"/>
        <v>8</v>
      </c>
      <c r="D166" s="4">
        <f t="shared" ca="1" si="17"/>
        <v>4</v>
      </c>
      <c r="E166" s="5">
        <f t="shared" ca="1" si="18"/>
        <v>45938</v>
      </c>
      <c r="F166" s="5">
        <f t="shared" ca="1" si="19"/>
        <v>45943</v>
      </c>
      <c r="G166" s="5">
        <f t="shared" ca="1" si="24"/>
        <v>45946</v>
      </c>
      <c r="H166" s="4" t="str" cm="1">
        <f t="array" aca="1" ref="H166" ca="1" xml:space="preserve"> INDEX({"DR01","DR02","DR03","DR04","DR05"}, RANDBETWEEN(1, 5))</f>
        <v>DR04</v>
      </c>
      <c r="I166" s="4" t="str">
        <f t="shared" ca="1" si="21"/>
        <v>Delayed</v>
      </c>
      <c r="J166" s="4" t="str">
        <f t="shared" ca="1" si="22"/>
        <v>(10, 8, 4, '2025-10-08', '2025-10-13', '2025-10-16', 'DR04', 'Delayed'),</v>
      </c>
    </row>
    <row r="167" spans="1:10" x14ac:dyDescent="0.3">
      <c r="A167" s="4">
        <f t="shared" si="23"/>
        <v>166</v>
      </c>
      <c r="B167" s="4">
        <f t="shared" ca="1" si="16"/>
        <v>10</v>
      </c>
      <c r="C167" s="4">
        <f t="shared" ca="1" si="16"/>
        <v>1</v>
      </c>
      <c r="D167" s="4">
        <f t="shared" ca="1" si="17"/>
        <v>3</v>
      </c>
      <c r="E167" s="5">
        <f t="shared" ca="1" si="18"/>
        <v>45975</v>
      </c>
      <c r="F167" s="5">
        <f t="shared" ca="1" si="19"/>
        <v>45979</v>
      </c>
      <c r="G167" s="5">
        <f t="shared" ca="1" si="24"/>
        <v>45980</v>
      </c>
      <c r="H167" s="4" t="str" cm="1">
        <f t="array" aca="1" ref="H167" ca="1" xml:space="preserve"> INDEX({"DR01","DR02","DR03","DR04","DR05"}, RANDBETWEEN(1, 5))</f>
        <v>DR01</v>
      </c>
      <c r="I167" s="4" t="str">
        <f t="shared" ca="1" si="21"/>
        <v>Delayed</v>
      </c>
      <c r="J167" s="4" t="str">
        <f t="shared" ca="1" si="22"/>
        <v>(10, 1, 3, '2025-11-14', '2025-11-18', '2025-11-19', 'DR01', 'Delayed'),</v>
      </c>
    </row>
    <row r="168" spans="1:10" x14ac:dyDescent="0.3">
      <c r="A168" s="4">
        <f t="shared" si="23"/>
        <v>167</v>
      </c>
      <c r="B168" s="4">
        <f t="shared" ca="1" si="16"/>
        <v>9</v>
      </c>
      <c r="C168" s="4">
        <f t="shared" ca="1" si="16"/>
        <v>9</v>
      </c>
      <c r="D168" s="4">
        <f t="shared" ca="1" si="17"/>
        <v>2</v>
      </c>
      <c r="E168" s="5">
        <f t="shared" ca="1" si="18"/>
        <v>46008</v>
      </c>
      <c r="F168" s="5">
        <f t="shared" ca="1" si="19"/>
        <v>46011</v>
      </c>
      <c r="G168" s="5">
        <f t="shared" ca="1" si="24"/>
        <v>46012</v>
      </c>
      <c r="H168" s="4" t="str" cm="1">
        <f t="array" aca="1" ref="H168" ca="1" xml:space="preserve"> INDEX({"DR01","DR02","DR03","DR04","DR05"}, RANDBETWEEN(1, 5))</f>
        <v>DR04</v>
      </c>
      <c r="I168" s="4" t="str">
        <f t="shared" ca="1" si="21"/>
        <v>Delayed</v>
      </c>
      <c r="J168" s="4" t="str">
        <f t="shared" ca="1" si="22"/>
        <v>(9, 9, 2, '2025-12-17', '2025-12-20', '2025-12-21', 'DR04', 'Delayed'),</v>
      </c>
    </row>
    <row r="169" spans="1:10" x14ac:dyDescent="0.3">
      <c r="A169" s="4">
        <f t="shared" si="23"/>
        <v>168</v>
      </c>
      <c r="B169" s="4">
        <f t="shared" ca="1" si="16"/>
        <v>6</v>
      </c>
      <c r="C169" s="4">
        <f t="shared" ca="1" si="16"/>
        <v>7</v>
      </c>
      <c r="D169" s="4">
        <f t="shared" ca="1" si="17"/>
        <v>5</v>
      </c>
      <c r="E169" s="5">
        <f t="shared" ca="1" si="18"/>
        <v>45981</v>
      </c>
      <c r="F169" s="5">
        <f t="shared" ca="1" si="19"/>
        <v>45986</v>
      </c>
      <c r="G169" s="5">
        <f t="shared" ca="1" si="24"/>
        <v>45989</v>
      </c>
      <c r="H169" s="4" t="str" cm="1">
        <f t="array" aca="1" ref="H169" ca="1" xml:space="preserve"> INDEX({"DR01","DR02","DR03","DR04","DR05"}, RANDBETWEEN(1, 5))</f>
        <v>DR03</v>
      </c>
      <c r="I169" s="4" t="str">
        <f t="shared" ca="1" si="21"/>
        <v>Delayed</v>
      </c>
      <c r="J169" s="4" t="str">
        <f t="shared" ca="1" si="22"/>
        <v>(6, 7, 5, '2025-11-20', '2025-11-25', '2025-11-28', 'DR03', 'Delayed'),</v>
      </c>
    </row>
    <row r="170" spans="1:10" x14ac:dyDescent="0.3">
      <c r="A170" s="4">
        <f t="shared" si="23"/>
        <v>169</v>
      </c>
      <c r="B170" s="4">
        <f t="shared" ca="1" si="16"/>
        <v>8</v>
      </c>
      <c r="C170" s="4">
        <f t="shared" ca="1" si="16"/>
        <v>5</v>
      </c>
      <c r="D170" s="4">
        <f t="shared" ca="1" si="17"/>
        <v>4</v>
      </c>
      <c r="E170" s="5">
        <f t="shared" ca="1" si="18"/>
        <v>45849</v>
      </c>
      <c r="F170" s="5">
        <f t="shared" ca="1" si="19"/>
        <v>45852</v>
      </c>
      <c r="G170" s="5">
        <f t="shared" ca="1" si="24"/>
        <v>45853</v>
      </c>
      <c r="H170" s="4" t="str" cm="1">
        <f t="array" aca="1" ref="H170" ca="1" xml:space="preserve"> INDEX({"DR01","DR02","DR03","DR04","DR05"}, RANDBETWEEN(1, 5))</f>
        <v>DR01</v>
      </c>
      <c r="I170" s="4" t="str">
        <f t="shared" ca="1" si="21"/>
        <v>Delayed</v>
      </c>
      <c r="J170" s="4" t="str">
        <f t="shared" ca="1" si="22"/>
        <v>(8, 5, 4, '2025-07-11', '2025-07-14', '2025-07-15', 'DR01', 'Delayed'),</v>
      </c>
    </row>
    <row r="171" spans="1:10" x14ac:dyDescent="0.3">
      <c r="A171" s="4">
        <f t="shared" si="23"/>
        <v>170</v>
      </c>
      <c r="B171" s="4">
        <f t="shared" ca="1" si="16"/>
        <v>2</v>
      </c>
      <c r="C171" s="4">
        <f t="shared" ca="1" si="16"/>
        <v>10</v>
      </c>
      <c r="D171" s="4">
        <f t="shared" ca="1" si="17"/>
        <v>4</v>
      </c>
      <c r="E171" s="5">
        <f t="shared" ca="1" si="18"/>
        <v>45993</v>
      </c>
      <c r="F171" s="5">
        <f t="shared" ca="1" si="19"/>
        <v>45996</v>
      </c>
      <c r="G171" s="5">
        <f t="shared" ca="1" si="24"/>
        <v>45998</v>
      </c>
      <c r="H171" s="4" t="str" cm="1">
        <f t="array" aca="1" ref="H171" ca="1" xml:space="preserve"> INDEX({"DR01","DR02","DR03","DR04","DR05"}, RANDBETWEEN(1, 5))</f>
        <v>DR02</v>
      </c>
      <c r="I171" s="4" t="str">
        <f t="shared" ca="1" si="21"/>
        <v>Delayed</v>
      </c>
      <c r="J171" s="4" t="str">
        <f t="shared" ca="1" si="22"/>
        <v>(2, 10, 4, '2025-12-02', '2025-12-05', '2025-12-07', 'DR02', 'Delayed'),</v>
      </c>
    </row>
    <row r="172" spans="1:10" x14ac:dyDescent="0.3">
      <c r="A172" s="4">
        <f t="shared" si="23"/>
        <v>171</v>
      </c>
      <c r="B172" s="4">
        <f t="shared" ca="1" si="16"/>
        <v>4</v>
      </c>
      <c r="C172" s="4">
        <f t="shared" ca="1" si="16"/>
        <v>7</v>
      </c>
      <c r="D172" s="4">
        <f t="shared" ca="1" si="17"/>
        <v>1</v>
      </c>
      <c r="E172" s="5">
        <f t="shared" ca="1" si="18"/>
        <v>45900</v>
      </c>
      <c r="F172" s="5">
        <f t="shared" ca="1" si="19"/>
        <v>45904</v>
      </c>
      <c r="G172" s="5">
        <f t="shared" ca="1" si="24"/>
        <v>45906</v>
      </c>
      <c r="H172" s="4" t="str" cm="1">
        <f t="array" aca="1" ref="H172" ca="1" xml:space="preserve"> INDEX({"DR01","DR02","DR03","DR04","DR05"}, RANDBETWEEN(1, 5))</f>
        <v>DR02</v>
      </c>
      <c r="I172" s="4" t="str">
        <f t="shared" ca="1" si="21"/>
        <v>Delayed</v>
      </c>
      <c r="J172" s="4" t="str">
        <f t="shared" ca="1" si="22"/>
        <v>(4, 7, 1, '2025-08-31', '2025-09-04', '2025-09-06', 'DR02', 'Delayed'),</v>
      </c>
    </row>
    <row r="173" spans="1:10" x14ac:dyDescent="0.3">
      <c r="A173" s="4">
        <f t="shared" si="23"/>
        <v>172</v>
      </c>
      <c r="B173" s="4">
        <f t="shared" ca="1" si="16"/>
        <v>5</v>
      </c>
      <c r="C173" s="4">
        <f t="shared" ca="1" si="16"/>
        <v>4</v>
      </c>
      <c r="D173" s="4">
        <f t="shared" ca="1" si="17"/>
        <v>4</v>
      </c>
      <c r="E173" s="5">
        <f t="shared" ca="1" si="18"/>
        <v>45873</v>
      </c>
      <c r="F173" s="5">
        <f t="shared" ca="1" si="19"/>
        <v>45877</v>
      </c>
      <c r="G173" s="5">
        <f t="shared" ca="1" si="24"/>
        <v>45879</v>
      </c>
      <c r="H173" s="4" t="str" cm="1">
        <f t="array" aca="1" ref="H173" ca="1" xml:space="preserve"> INDEX({"DR01","DR02","DR03","DR04","DR05"}, RANDBETWEEN(1, 5))</f>
        <v>DR03</v>
      </c>
      <c r="I173" s="4" t="str">
        <f t="shared" ca="1" si="21"/>
        <v>Delayed</v>
      </c>
      <c r="J173" s="4" t="str">
        <f t="shared" ca="1" si="22"/>
        <v>(5, 4, 4, '2025-08-04', '2025-08-08', '2025-08-10', 'DR03', 'Delayed'),</v>
      </c>
    </row>
    <row r="174" spans="1:10" x14ac:dyDescent="0.3">
      <c r="A174" s="4">
        <f t="shared" si="23"/>
        <v>173</v>
      </c>
      <c r="B174" s="4">
        <f t="shared" ca="1" si="16"/>
        <v>10</v>
      </c>
      <c r="C174" s="4">
        <f t="shared" ca="1" si="16"/>
        <v>5</v>
      </c>
      <c r="D174" s="4">
        <f t="shared" ca="1" si="17"/>
        <v>2</v>
      </c>
      <c r="E174" s="5">
        <f t="shared" ca="1" si="18"/>
        <v>45983</v>
      </c>
      <c r="F174" s="5">
        <f t="shared" ca="1" si="19"/>
        <v>45988</v>
      </c>
      <c r="G174" s="5">
        <f t="shared" ca="1" si="24"/>
        <v>45991</v>
      </c>
      <c r="H174" s="4" t="str" cm="1">
        <f t="array" aca="1" ref="H174" ca="1" xml:space="preserve"> INDEX({"DR01","DR02","DR03","DR04","DR05"}, RANDBETWEEN(1, 5))</f>
        <v>DR03</v>
      </c>
      <c r="I174" s="4" t="str">
        <f t="shared" ca="1" si="21"/>
        <v>Delayed</v>
      </c>
      <c r="J174" s="4" t="str">
        <f t="shared" ca="1" si="22"/>
        <v>(10, 5, 2, '2025-11-22', '2025-11-27', '2025-11-30', 'DR03', 'Delayed'),</v>
      </c>
    </row>
    <row r="175" spans="1:10" x14ac:dyDescent="0.3">
      <c r="A175" s="4">
        <f t="shared" si="23"/>
        <v>174</v>
      </c>
      <c r="B175" s="4">
        <f t="shared" ca="1" si="16"/>
        <v>2</v>
      </c>
      <c r="C175" s="4">
        <f t="shared" ca="1" si="16"/>
        <v>2</v>
      </c>
      <c r="D175" s="4">
        <f t="shared" ca="1" si="17"/>
        <v>3</v>
      </c>
      <c r="E175" s="5">
        <f t="shared" ca="1" si="18"/>
        <v>46013</v>
      </c>
      <c r="F175" s="5">
        <f t="shared" ca="1" si="19"/>
        <v>46018</v>
      </c>
      <c r="G175" s="5">
        <f t="shared" ca="1" si="24"/>
        <v>46019</v>
      </c>
      <c r="H175" s="4" t="str" cm="1">
        <f t="array" aca="1" ref="H175" ca="1" xml:space="preserve"> INDEX({"DR01","DR02","DR03","DR04","DR05"}, RANDBETWEEN(1, 5))</f>
        <v>DR05</v>
      </c>
      <c r="I175" s="4" t="str">
        <f t="shared" ca="1" si="21"/>
        <v>Delayed</v>
      </c>
      <c r="J175" s="4" t="str">
        <f t="shared" ca="1" si="22"/>
        <v>(2, 2, 3, '2025-12-22', '2025-12-27', '2025-12-28', 'DR05', 'Delayed'),</v>
      </c>
    </row>
    <row r="176" spans="1:10" x14ac:dyDescent="0.3">
      <c r="A176" s="4">
        <f t="shared" si="23"/>
        <v>175</v>
      </c>
      <c r="B176" s="4">
        <f t="shared" ca="1" si="16"/>
        <v>4</v>
      </c>
      <c r="C176" s="4">
        <f t="shared" ca="1" si="16"/>
        <v>1</v>
      </c>
      <c r="D176" s="4">
        <f t="shared" ca="1" si="17"/>
        <v>3</v>
      </c>
      <c r="E176" s="5">
        <f t="shared" ca="1" si="18"/>
        <v>45845</v>
      </c>
      <c r="F176" s="5">
        <f t="shared" ca="1" si="19"/>
        <v>45848</v>
      </c>
      <c r="G176" s="5">
        <f t="shared" ca="1" si="24"/>
        <v>45850</v>
      </c>
      <c r="H176" s="4" t="str" cm="1">
        <f t="array" aca="1" ref="H176" ca="1" xml:space="preserve"> INDEX({"DR01","DR02","DR03","DR04","DR05"}, RANDBETWEEN(1, 5))</f>
        <v>DR05</v>
      </c>
      <c r="I176" s="4" t="str">
        <f t="shared" ca="1" si="21"/>
        <v>Delayed</v>
      </c>
      <c r="J176" s="4" t="str">
        <f t="shared" ca="1" si="22"/>
        <v>(4, 1, 3, '2025-07-07', '2025-07-10', '2025-07-12', 'DR05', 'Delayed'),</v>
      </c>
    </row>
    <row r="177" spans="1:10" x14ac:dyDescent="0.3">
      <c r="A177" s="4">
        <f t="shared" si="23"/>
        <v>176</v>
      </c>
      <c r="B177" s="4">
        <f t="shared" ca="1" si="16"/>
        <v>10</v>
      </c>
      <c r="C177" s="4">
        <f t="shared" ca="1" si="16"/>
        <v>6</v>
      </c>
      <c r="D177" s="4">
        <f t="shared" ca="1" si="17"/>
        <v>3</v>
      </c>
      <c r="E177" s="5">
        <f t="shared" ca="1" si="18"/>
        <v>45949</v>
      </c>
      <c r="F177" s="5">
        <f t="shared" ca="1" si="19"/>
        <v>45952</v>
      </c>
      <c r="G177" s="5">
        <f t="shared" ca="1" si="24"/>
        <v>45954</v>
      </c>
      <c r="H177" s="4" t="str" cm="1">
        <f t="array" aca="1" ref="H177" ca="1" xml:space="preserve"> INDEX({"DR01","DR02","DR03","DR04","DR05"}, RANDBETWEEN(1, 5))</f>
        <v>DR04</v>
      </c>
      <c r="I177" s="4" t="str">
        <f t="shared" ca="1" si="21"/>
        <v>Delayed</v>
      </c>
      <c r="J177" s="4" t="str">
        <f t="shared" ca="1" si="22"/>
        <v>(10, 6, 3, '2025-10-19', '2025-10-22', '2025-10-24', 'DR04', 'Delayed'),</v>
      </c>
    </row>
    <row r="178" spans="1:10" x14ac:dyDescent="0.3">
      <c r="A178" s="4">
        <f t="shared" si="23"/>
        <v>177</v>
      </c>
      <c r="B178" s="4">
        <f t="shared" ca="1" si="16"/>
        <v>5</v>
      </c>
      <c r="C178" s="4">
        <f t="shared" ca="1" si="16"/>
        <v>3</v>
      </c>
      <c r="D178" s="4">
        <f t="shared" ca="1" si="17"/>
        <v>5</v>
      </c>
      <c r="E178" s="5">
        <f t="shared" ca="1" si="18"/>
        <v>45971</v>
      </c>
      <c r="F178" s="5">
        <f t="shared" ca="1" si="19"/>
        <v>45976</v>
      </c>
      <c r="G178" s="5">
        <f t="shared" ca="1" si="24"/>
        <v>45979</v>
      </c>
      <c r="H178" s="4" t="str" cm="1">
        <f t="array" aca="1" ref="H178" ca="1" xml:space="preserve"> INDEX({"DR01","DR02","DR03","DR04","DR05"}, RANDBETWEEN(1, 5))</f>
        <v>DR03</v>
      </c>
      <c r="I178" s="4" t="str">
        <f t="shared" ca="1" si="21"/>
        <v>Delayed</v>
      </c>
      <c r="J178" s="4" t="str">
        <f t="shared" ca="1" si="22"/>
        <v>(5, 3, 5, '2025-11-10', '2025-11-15', '2025-11-18', 'DR03', 'Delayed'),</v>
      </c>
    </row>
    <row r="179" spans="1:10" x14ac:dyDescent="0.3">
      <c r="A179" s="4">
        <f t="shared" si="23"/>
        <v>178</v>
      </c>
      <c r="B179" s="4">
        <f t="shared" ca="1" si="16"/>
        <v>1</v>
      </c>
      <c r="C179" s="4">
        <f t="shared" ca="1" si="16"/>
        <v>7</v>
      </c>
      <c r="D179" s="4">
        <f t="shared" ca="1" si="17"/>
        <v>3</v>
      </c>
      <c r="E179" s="5">
        <f t="shared" ca="1" si="18"/>
        <v>46015</v>
      </c>
      <c r="F179" s="5">
        <f t="shared" ca="1" si="19"/>
        <v>46019</v>
      </c>
      <c r="G179" s="5">
        <f t="shared" ca="1" si="24"/>
        <v>46021</v>
      </c>
      <c r="H179" s="4" t="str" cm="1">
        <f t="array" aca="1" ref="H179" ca="1" xml:space="preserve"> INDEX({"DR01","DR02","DR03","DR04","DR05"}, RANDBETWEEN(1, 5))</f>
        <v>DR05</v>
      </c>
      <c r="I179" s="4" t="str">
        <f t="shared" ca="1" si="21"/>
        <v>Delayed</v>
      </c>
      <c r="J179" s="4" t="str">
        <f t="shared" ca="1" si="22"/>
        <v>(1, 7, 3, '2025-12-24', '2025-12-28', '2025-12-30', 'DR05', 'Delayed'),</v>
      </c>
    </row>
    <row r="180" spans="1:10" x14ac:dyDescent="0.3">
      <c r="A180" s="4">
        <f t="shared" si="23"/>
        <v>179</v>
      </c>
      <c r="B180" s="4">
        <f t="shared" ca="1" si="16"/>
        <v>8</v>
      </c>
      <c r="C180" s="4">
        <f t="shared" ca="1" si="16"/>
        <v>6</v>
      </c>
      <c r="D180" s="4">
        <f t="shared" ca="1" si="17"/>
        <v>2</v>
      </c>
      <c r="E180" s="5">
        <f t="shared" ca="1" si="18"/>
        <v>45996</v>
      </c>
      <c r="F180" s="5">
        <f t="shared" ca="1" si="19"/>
        <v>46000</v>
      </c>
      <c r="G180" s="5">
        <f t="shared" ca="1" si="24"/>
        <v>46003</v>
      </c>
      <c r="H180" s="4" t="str" cm="1">
        <f t="array" aca="1" ref="H180" ca="1" xml:space="preserve"> INDEX({"DR01","DR02","DR03","DR04","DR05"}, RANDBETWEEN(1, 5))</f>
        <v>DR05</v>
      </c>
      <c r="I180" s="4" t="str">
        <f t="shared" ca="1" si="21"/>
        <v>Delayed</v>
      </c>
      <c r="J180" s="4" t="str">
        <f t="shared" ca="1" si="22"/>
        <v>(8, 6, 2, '2025-12-05', '2025-12-09', '2025-12-12', 'DR05', 'Delayed'),</v>
      </c>
    </row>
    <row r="181" spans="1:10" x14ac:dyDescent="0.3">
      <c r="A181" s="4">
        <f t="shared" si="23"/>
        <v>180</v>
      </c>
      <c r="B181" s="4">
        <f t="shared" ca="1" si="16"/>
        <v>5</v>
      </c>
      <c r="C181" s="4">
        <f t="shared" ca="1" si="16"/>
        <v>3</v>
      </c>
      <c r="D181" s="4">
        <f t="shared" ca="1" si="17"/>
        <v>5</v>
      </c>
      <c r="E181" s="5">
        <f t="shared" ca="1" si="18"/>
        <v>45950</v>
      </c>
      <c r="F181" s="5">
        <f t="shared" ca="1" si="19"/>
        <v>45954</v>
      </c>
      <c r="G181" s="5">
        <f t="shared" ca="1" si="24"/>
        <v>45955</v>
      </c>
      <c r="H181" s="4" t="str" cm="1">
        <f t="array" aca="1" ref="H181" ca="1" xml:space="preserve"> INDEX({"DR01","DR02","DR03","DR04","DR05"}, RANDBETWEEN(1, 5))</f>
        <v>DR04</v>
      </c>
      <c r="I181" s="4" t="str">
        <f t="shared" ca="1" si="21"/>
        <v>Delayed</v>
      </c>
      <c r="J181" s="4" t="str">
        <f t="shared" ca="1" si="22"/>
        <v>(5, 3, 5, '2025-10-20', '2025-10-24', '2025-10-25', 'DR04', 'Delayed'),</v>
      </c>
    </row>
    <row r="182" spans="1:10" x14ac:dyDescent="0.3">
      <c r="A182" s="4">
        <f t="shared" si="23"/>
        <v>181</v>
      </c>
      <c r="B182" s="4">
        <f t="shared" ca="1" si="16"/>
        <v>6</v>
      </c>
      <c r="C182" s="4">
        <f t="shared" ca="1" si="16"/>
        <v>8</v>
      </c>
      <c r="D182" s="4">
        <f t="shared" ca="1" si="17"/>
        <v>5</v>
      </c>
      <c r="E182" s="5">
        <f t="shared" ca="1" si="18"/>
        <v>45861</v>
      </c>
      <c r="F182" s="5">
        <f t="shared" ca="1" si="19"/>
        <v>45865</v>
      </c>
      <c r="G182" s="4"/>
      <c r="H182" s="4"/>
      <c r="I182" s="4" t="str">
        <f t="shared" si="21"/>
        <v>In Transit</v>
      </c>
      <c r="J182" s="4" t="str">
        <f t="shared" ca="1" si="22"/>
        <v>(6, 8, 5, '2025-07-23', '2025-07-27', NULL, NULL, 'In Transit'),</v>
      </c>
    </row>
    <row r="183" spans="1:10" x14ac:dyDescent="0.3">
      <c r="A183" s="4">
        <f t="shared" si="23"/>
        <v>182</v>
      </c>
      <c r="B183" s="4">
        <f t="shared" ca="1" si="16"/>
        <v>8</v>
      </c>
      <c r="C183" s="4">
        <f t="shared" ca="1" si="16"/>
        <v>7</v>
      </c>
      <c r="D183" s="4">
        <f t="shared" ca="1" si="17"/>
        <v>5</v>
      </c>
      <c r="E183" s="5">
        <f t="shared" ca="1" si="18"/>
        <v>45841</v>
      </c>
      <c r="F183" s="5">
        <f t="shared" ca="1" si="19"/>
        <v>45846</v>
      </c>
      <c r="G183" s="4"/>
      <c r="H183" s="4"/>
      <c r="I183" s="4" t="str">
        <f t="shared" si="21"/>
        <v>In Transit</v>
      </c>
      <c r="J183" s="4" t="str">
        <f t="shared" ca="1" si="22"/>
        <v>(8, 7, 5, '2025-07-03', '2025-07-08', NULL, NULL, 'In Transit'),</v>
      </c>
    </row>
    <row r="184" spans="1:10" x14ac:dyDescent="0.3">
      <c r="A184" s="4">
        <f t="shared" si="23"/>
        <v>183</v>
      </c>
      <c r="B184" s="4">
        <f t="shared" ca="1" si="16"/>
        <v>6</v>
      </c>
      <c r="C184" s="4">
        <f t="shared" ca="1" si="16"/>
        <v>6</v>
      </c>
      <c r="D184" s="4">
        <f t="shared" ca="1" si="17"/>
        <v>2</v>
      </c>
      <c r="E184" s="5">
        <f t="shared" ca="1" si="18"/>
        <v>45846</v>
      </c>
      <c r="F184" s="5">
        <f t="shared" ca="1" si="19"/>
        <v>45850</v>
      </c>
      <c r="G184" s="4"/>
      <c r="H184" s="4"/>
      <c r="I184" s="4" t="str">
        <f t="shared" si="21"/>
        <v>In Transit</v>
      </c>
      <c r="J184" s="4" t="str">
        <f t="shared" ca="1" si="22"/>
        <v>(6, 6, 2, '2025-07-08', '2025-07-12', NULL, NULL, 'In Transit'),</v>
      </c>
    </row>
    <row r="185" spans="1:10" x14ac:dyDescent="0.3">
      <c r="A185" s="4">
        <f t="shared" si="23"/>
        <v>184</v>
      </c>
      <c r="B185" s="4">
        <f t="shared" ca="1" si="16"/>
        <v>3</v>
      </c>
      <c r="C185" s="4">
        <f t="shared" ca="1" si="16"/>
        <v>9</v>
      </c>
      <c r="D185" s="4">
        <f t="shared" ca="1" si="17"/>
        <v>3</v>
      </c>
      <c r="E185" s="5">
        <f t="shared" ca="1" si="18"/>
        <v>45926</v>
      </c>
      <c r="F185" s="5">
        <f t="shared" ca="1" si="19"/>
        <v>45929</v>
      </c>
      <c r="G185" s="4"/>
      <c r="H185" s="4"/>
      <c r="I185" s="4" t="str">
        <f t="shared" si="21"/>
        <v>In Transit</v>
      </c>
      <c r="J185" s="4" t="str">
        <f t="shared" ca="1" si="22"/>
        <v>(3, 9, 3, '2025-09-26', '2025-09-29', NULL, NULL, 'In Transit'),</v>
      </c>
    </row>
    <row r="186" spans="1:10" x14ac:dyDescent="0.3">
      <c r="A186" s="4">
        <f t="shared" si="23"/>
        <v>185</v>
      </c>
      <c r="B186" s="4">
        <f t="shared" ca="1" si="16"/>
        <v>9</v>
      </c>
      <c r="C186" s="4">
        <f t="shared" ca="1" si="16"/>
        <v>9</v>
      </c>
      <c r="D186" s="4">
        <f t="shared" ca="1" si="17"/>
        <v>3</v>
      </c>
      <c r="E186" s="5">
        <f t="shared" ca="1" si="18"/>
        <v>46001</v>
      </c>
      <c r="F186" s="5">
        <f t="shared" ca="1" si="19"/>
        <v>46004</v>
      </c>
      <c r="G186" s="4"/>
      <c r="H186" s="4"/>
      <c r="I186" s="4" t="str">
        <f t="shared" si="21"/>
        <v>In Transit</v>
      </c>
      <c r="J186" s="4" t="str">
        <f t="shared" ca="1" si="22"/>
        <v>(9, 9, 3, '2025-12-10', '2025-12-13', NULL, NULL, 'In Transit'),</v>
      </c>
    </row>
    <row r="187" spans="1:10" x14ac:dyDescent="0.3">
      <c r="A187" s="4">
        <f t="shared" si="23"/>
        <v>186</v>
      </c>
      <c r="B187" s="4">
        <f t="shared" ca="1" si="16"/>
        <v>7</v>
      </c>
      <c r="C187" s="4">
        <f t="shared" ca="1" si="16"/>
        <v>9</v>
      </c>
      <c r="D187" s="4">
        <f t="shared" ca="1" si="17"/>
        <v>3</v>
      </c>
      <c r="E187" s="5">
        <f t="shared" ca="1" si="18"/>
        <v>45990</v>
      </c>
      <c r="F187" s="5">
        <f t="shared" ca="1" si="19"/>
        <v>45995</v>
      </c>
      <c r="G187" s="4"/>
      <c r="H187" s="4"/>
      <c r="I187" s="4" t="str">
        <f t="shared" si="21"/>
        <v>In Transit</v>
      </c>
      <c r="J187" s="4" t="str">
        <f t="shared" ca="1" si="22"/>
        <v>(7, 9, 3, '2025-11-29', '2025-12-04', NULL, NULL, 'In Transit'),</v>
      </c>
    </row>
    <row r="188" spans="1:10" x14ac:dyDescent="0.3">
      <c r="A188" s="4">
        <f t="shared" si="23"/>
        <v>187</v>
      </c>
      <c r="B188" s="4">
        <f t="shared" ca="1" si="16"/>
        <v>6</v>
      </c>
      <c r="C188" s="4">
        <f t="shared" ca="1" si="16"/>
        <v>5</v>
      </c>
      <c r="D188" s="4">
        <f t="shared" ca="1" si="17"/>
        <v>5</v>
      </c>
      <c r="E188" s="5">
        <f t="shared" ca="1" si="18"/>
        <v>45958</v>
      </c>
      <c r="F188" s="5">
        <f t="shared" ca="1" si="19"/>
        <v>45961</v>
      </c>
      <c r="G188" s="4"/>
      <c r="H188" s="4"/>
      <c r="I188" s="4" t="str">
        <f t="shared" si="21"/>
        <v>In Transit</v>
      </c>
      <c r="J188" s="4" t="str">
        <f t="shared" ca="1" si="22"/>
        <v>(6, 5, 5, '2025-10-28', '2025-10-31', NULL, NULL, 'In Transit'),</v>
      </c>
    </row>
    <row r="189" spans="1:10" x14ac:dyDescent="0.3">
      <c r="A189" s="4">
        <f t="shared" si="23"/>
        <v>188</v>
      </c>
      <c r="B189" s="4">
        <f t="shared" ca="1" si="16"/>
        <v>3</v>
      </c>
      <c r="C189" s="4">
        <f t="shared" ca="1" si="16"/>
        <v>5</v>
      </c>
      <c r="D189" s="4">
        <f t="shared" ca="1" si="17"/>
        <v>2</v>
      </c>
      <c r="E189" s="5">
        <f t="shared" ca="1" si="18"/>
        <v>45993</v>
      </c>
      <c r="F189" s="5">
        <f t="shared" ca="1" si="19"/>
        <v>45998</v>
      </c>
      <c r="G189" s="4"/>
      <c r="H189" s="4"/>
      <c r="I189" s="4" t="str">
        <f t="shared" si="21"/>
        <v>In Transit</v>
      </c>
      <c r="J189" s="4" t="str">
        <f t="shared" ca="1" si="22"/>
        <v>(3, 5, 2, '2025-12-02', '2025-12-07', NULL, NULL, 'In Transit'),</v>
      </c>
    </row>
    <row r="190" spans="1:10" x14ac:dyDescent="0.3">
      <c r="A190" s="4">
        <f t="shared" si="23"/>
        <v>189</v>
      </c>
      <c r="B190" s="4">
        <f t="shared" ca="1" si="16"/>
        <v>3</v>
      </c>
      <c r="C190" s="4">
        <f t="shared" ca="1" si="16"/>
        <v>2</v>
      </c>
      <c r="D190" s="4">
        <f t="shared" ca="1" si="17"/>
        <v>5</v>
      </c>
      <c r="E190" s="5">
        <f t="shared" ca="1" si="18"/>
        <v>45903</v>
      </c>
      <c r="F190" s="5">
        <f t="shared" ca="1" si="19"/>
        <v>45907</v>
      </c>
      <c r="G190" s="4"/>
      <c r="H190" s="4"/>
      <c r="I190" s="4" t="str">
        <f t="shared" si="21"/>
        <v>In Transit</v>
      </c>
      <c r="J190" s="4" t="str">
        <f t="shared" ca="1" si="22"/>
        <v>(3, 2, 5, '2025-09-03', '2025-09-07', NULL, NULL, 'In Transit'),</v>
      </c>
    </row>
    <row r="191" spans="1:10" x14ac:dyDescent="0.3">
      <c r="A191" s="4">
        <f t="shared" si="23"/>
        <v>190</v>
      </c>
      <c r="B191" s="4">
        <f t="shared" ca="1" si="16"/>
        <v>3</v>
      </c>
      <c r="C191" s="4">
        <f t="shared" ca="1" si="16"/>
        <v>10</v>
      </c>
      <c r="D191" s="4">
        <f t="shared" ca="1" si="17"/>
        <v>2</v>
      </c>
      <c r="E191" s="5">
        <f t="shared" ca="1" si="18"/>
        <v>46007</v>
      </c>
      <c r="F191" s="5">
        <f t="shared" ca="1" si="19"/>
        <v>46010</v>
      </c>
      <c r="G191" s="4"/>
      <c r="H191" s="4"/>
      <c r="I191" s="4" t="str">
        <f t="shared" si="21"/>
        <v>In Transit</v>
      </c>
      <c r="J191" s="4" t="str">
        <f t="shared" ca="1" si="22"/>
        <v>(3, 10, 2, '2025-12-16', '2025-12-19', NULL, NULL, 'In Transit'),</v>
      </c>
    </row>
    <row r="192" spans="1:10" x14ac:dyDescent="0.3">
      <c r="A192" s="4">
        <f t="shared" si="23"/>
        <v>191</v>
      </c>
      <c r="B192" s="4">
        <f t="shared" ca="1" si="16"/>
        <v>7</v>
      </c>
      <c r="C192" s="4">
        <f t="shared" ca="1" si="16"/>
        <v>9</v>
      </c>
      <c r="D192" s="4">
        <f t="shared" ca="1" si="17"/>
        <v>4</v>
      </c>
      <c r="E192" s="5">
        <f t="shared" ca="1" si="18"/>
        <v>46008</v>
      </c>
      <c r="F192" s="5">
        <f t="shared" ca="1" si="19"/>
        <v>46013</v>
      </c>
      <c r="G192" s="4"/>
      <c r="H192" s="4"/>
      <c r="I192" s="4" t="str">
        <f t="shared" si="21"/>
        <v>In Transit</v>
      </c>
      <c r="J192" s="4" t="str">
        <f t="shared" ca="1" si="22"/>
        <v>(7, 9, 4, '2025-12-17', '2025-12-22', NULL, NULL, 'In Transit'),</v>
      </c>
    </row>
    <row r="193" spans="1:10" x14ac:dyDescent="0.3">
      <c r="A193" s="4">
        <f t="shared" si="23"/>
        <v>192</v>
      </c>
      <c r="B193" s="4">
        <f t="shared" ca="1" si="16"/>
        <v>1</v>
      </c>
      <c r="C193" s="4">
        <f t="shared" ca="1" si="16"/>
        <v>5</v>
      </c>
      <c r="D193" s="4">
        <f t="shared" ca="1" si="17"/>
        <v>5</v>
      </c>
      <c r="E193" s="5">
        <f t="shared" ca="1" si="18"/>
        <v>46008</v>
      </c>
      <c r="F193" s="5">
        <f t="shared" ca="1" si="19"/>
        <v>46012</v>
      </c>
      <c r="G193" s="4"/>
      <c r="H193" s="4"/>
      <c r="I193" s="4" t="str">
        <f t="shared" si="21"/>
        <v>In Transit</v>
      </c>
      <c r="J193" s="4" t="str">
        <f t="shared" ca="1" si="22"/>
        <v>(1, 5, 5, '2025-12-17', '2025-12-21', NULL, NULL, 'In Transit'),</v>
      </c>
    </row>
    <row r="194" spans="1:10" x14ac:dyDescent="0.3">
      <c r="A194" s="4">
        <f t="shared" si="23"/>
        <v>193</v>
      </c>
      <c r="B194" s="4">
        <f t="shared" ca="1" si="16"/>
        <v>7</v>
      </c>
      <c r="C194" s="4">
        <f t="shared" ca="1" si="16"/>
        <v>1</v>
      </c>
      <c r="D194" s="4">
        <f t="shared" ca="1" si="17"/>
        <v>3</v>
      </c>
      <c r="E194" s="5">
        <f t="shared" ca="1" si="18"/>
        <v>45847</v>
      </c>
      <c r="F194" s="5">
        <f t="shared" ca="1" si="19"/>
        <v>45852</v>
      </c>
      <c r="G194" s="4"/>
      <c r="H194" s="4"/>
      <c r="I194" s="4" t="str">
        <f t="shared" si="21"/>
        <v>In Transit</v>
      </c>
      <c r="J194" s="4" t="str">
        <f t="shared" ca="1" si="22"/>
        <v>(7, 1, 3, '2025-07-09', '2025-07-14', NULL, NULL, 'In Transit'),</v>
      </c>
    </row>
    <row r="195" spans="1:10" x14ac:dyDescent="0.3">
      <c r="A195" s="4">
        <f t="shared" si="23"/>
        <v>194</v>
      </c>
      <c r="B195" s="4">
        <f t="shared" ref="B195:C201" ca="1" si="25" xml:space="preserve"> RANDBETWEEN(1, 10)</f>
        <v>7</v>
      </c>
      <c r="C195" s="4">
        <f t="shared" ca="1" si="25"/>
        <v>4</v>
      </c>
      <c r="D195" s="4">
        <f t="shared" ref="D195:D201" ca="1" si="26" xml:space="preserve"> RANDBETWEEN(1, 5)</f>
        <v>1</v>
      </c>
      <c r="E195" s="5">
        <f t="shared" ref="E195:E201" ca="1" si="27" xml:space="preserve"> DATE(2025, 7, 1) + RANDBETWEEN(1, 183)</f>
        <v>46011</v>
      </c>
      <c r="F195" s="5">
        <f t="shared" ref="F195:F201" ca="1" si="28" xml:space="preserve"> E195 + RANDBETWEEN(3, 5)</f>
        <v>46015</v>
      </c>
      <c r="G195" s="4"/>
      <c r="H195" s="4"/>
      <c r="I195" s="4" t="str">
        <f t="shared" ref="I195:I201" si="29" xml:space="preserve"> IF(G195 = "", "In Transit", IF(G195 &lt;= F195, "On Time", "Delayed"))</f>
        <v>In Transit</v>
      </c>
      <c r="J195" s="4" t="str">
        <f t="shared" ref="J195:J200" ca="1" si="30">"("&amp;B195&amp;", "&amp;C195&amp;", "&amp;D195&amp;", "&amp;"'"&amp;TEXT(E195,"yyyy-mm-dd")&amp;"'"&amp;", "&amp;"'"&amp;TEXT(F195,"yyyy-mm-dd")&amp;"'"&amp;", "&amp;IF(G195="","NULL","'"&amp;TEXT(G195,"yyyy-mm-dd")&amp;"'")&amp;", "&amp;IF(H195="","NULL","'"&amp;H195&amp;"'")&amp;", "&amp;"'"&amp;I195&amp;"'"&amp;")"&amp;","</f>
        <v>(7, 4, 1, '2025-12-20', '2025-12-24', NULL, NULL, 'In Transit'),</v>
      </c>
    </row>
    <row r="196" spans="1:10" x14ac:dyDescent="0.3">
      <c r="A196" s="4">
        <f t="shared" si="23"/>
        <v>195</v>
      </c>
      <c r="B196" s="4">
        <f t="shared" ca="1" si="25"/>
        <v>8</v>
      </c>
      <c r="C196" s="4">
        <f t="shared" ca="1" si="25"/>
        <v>5</v>
      </c>
      <c r="D196" s="4">
        <f t="shared" ca="1" si="26"/>
        <v>4</v>
      </c>
      <c r="E196" s="5">
        <f t="shared" ca="1" si="27"/>
        <v>45863</v>
      </c>
      <c r="F196" s="5">
        <f t="shared" ca="1" si="28"/>
        <v>45866</v>
      </c>
      <c r="G196" s="4"/>
      <c r="H196" s="4"/>
      <c r="I196" s="4" t="str">
        <f t="shared" si="29"/>
        <v>In Transit</v>
      </c>
      <c r="J196" s="4" t="str">
        <f t="shared" ca="1" si="30"/>
        <v>(8, 5, 4, '2025-07-25', '2025-07-28', NULL, NULL, 'In Transit'),</v>
      </c>
    </row>
    <row r="197" spans="1:10" x14ac:dyDescent="0.3">
      <c r="A197" s="4">
        <f t="shared" ref="A197:A201" si="31" xml:space="preserve"> A196 + 1</f>
        <v>196</v>
      </c>
      <c r="B197" s="4">
        <f t="shared" ca="1" si="25"/>
        <v>1</v>
      </c>
      <c r="C197" s="4">
        <f t="shared" ca="1" si="25"/>
        <v>4</v>
      </c>
      <c r="D197" s="4">
        <f t="shared" ca="1" si="26"/>
        <v>5</v>
      </c>
      <c r="E197" s="5">
        <f t="shared" ca="1" si="27"/>
        <v>46002</v>
      </c>
      <c r="F197" s="5">
        <f t="shared" ca="1" si="28"/>
        <v>46005</v>
      </c>
      <c r="G197" s="4"/>
      <c r="H197" s="4"/>
      <c r="I197" s="4" t="str">
        <f t="shared" si="29"/>
        <v>In Transit</v>
      </c>
      <c r="J197" s="4" t="str">
        <f t="shared" ca="1" si="30"/>
        <v>(1, 4, 5, '2025-12-11', '2025-12-14', NULL, NULL, 'In Transit'),</v>
      </c>
    </row>
    <row r="198" spans="1:10" x14ac:dyDescent="0.3">
      <c r="A198" s="4">
        <f t="shared" si="31"/>
        <v>197</v>
      </c>
      <c r="B198" s="4">
        <f t="shared" ca="1" si="25"/>
        <v>1</v>
      </c>
      <c r="C198" s="4">
        <f t="shared" ca="1" si="25"/>
        <v>6</v>
      </c>
      <c r="D198" s="4">
        <f t="shared" ca="1" si="26"/>
        <v>4</v>
      </c>
      <c r="E198" s="5">
        <f t="shared" ca="1" si="27"/>
        <v>45971</v>
      </c>
      <c r="F198" s="5">
        <f t="shared" ca="1" si="28"/>
        <v>45974</v>
      </c>
      <c r="G198" s="4"/>
      <c r="H198" s="4"/>
      <c r="I198" s="4" t="str">
        <f t="shared" si="29"/>
        <v>In Transit</v>
      </c>
      <c r="J198" s="4" t="str">
        <f t="shared" ca="1" si="30"/>
        <v>(1, 6, 4, '2025-11-10', '2025-11-13', NULL, NULL, 'In Transit'),</v>
      </c>
    </row>
    <row r="199" spans="1:10" x14ac:dyDescent="0.3">
      <c r="A199" s="4">
        <f t="shared" si="31"/>
        <v>198</v>
      </c>
      <c r="B199" s="4">
        <f t="shared" ca="1" si="25"/>
        <v>9</v>
      </c>
      <c r="C199" s="4">
        <f t="shared" ca="1" si="25"/>
        <v>4</v>
      </c>
      <c r="D199" s="4">
        <f t="shared" ca="1" si="26"/>
        <v>5</v>
      </c>
      <c r="E199" s="5">
        <f t="shared" ca="1" si="27"/>
        <v>45945</v>
      </c>
      <c r="F199" s="5">
        <f t="shared" ca="1" si="28"/>
        <v>45948</v>
      </c>
      <c r="G199" s="4"/>
      <c r="H199" s="4"/>
      <c r="I199" s="4" t="str">
        <f t="shared" si="29"/>
        <v>In Transit</v>
      </c>
      <c r="J199" s="4" t="str">
        <f t="shared" ca="1" si="30"/>
        <v>(9, 4, 5, '2025-10-15', '2025-10-18', NULL, NULL, 'In Transit'),</v>
      </c>
    </row>
    <row r="200" spans="1:10" x14ac:dyDescent="0.3">
      <c r="A200" s="4">
        <f t="shared" si="31"/>
        <v>199</v>
      </c>
      <c r="B200" s="4">
        <f t="shared" ca="1" si="25"/>
        <v>10</v>
      </c>
      <c r="C200" s="4">
        <f t="shared" ca="1" si="25"/>
        <v>2</v>
      </c>
      <c r="D200" s="4">
        <f t="shared" ca="1" si="26"/>
        <v>4</v>
      </c>
      <c r="E200" s="5">
        <f t="shared" ca="1" si="27"/>
        <v>45962</v>
      </c>
      <c r="F200" s="5">
        <f t="shared" ca="1" si="28"/>
        <v>45965</v>
      </c>
      <c r="G200" s="4"/>
      <c r="H200" s="4"/>
      <c r="I200" s="4" t="str">
        <f t="shared" si="29"/>
        <v>In Transit</v>
      </c>
      <c r="J200" s="4" t="str">
        <f t="shared" ca="1" si="30"/>
        <v>(10, 2, 4, '2025-11-01', '2025-11-04', NULL, NULL, 'In Transit'),</v>
      </c>
    </row>
    <row r="201" spans="1:10" x14ac:dyDescent="0.3">
      <c r="A201" s="4">
        <f t="shared" si="31"/>
        <v>200</v>
      </c>
      <c r="B201" s="4">
        <f t="shared" ca="1" si="25"/>
        <v>6</v>
      </c>
      <c r="C201" s="4">
        <f t="shared" ca="1" si="25"/>
        <v>6</v>
      </c>
      <c r="D201" s="4">
        <f t="shared" ca="1" si="26"/>
        <v>1</v>
      </c>
      <c r="E201" s="5">
        <f t="shared" ca="1" si="27"/>
        <v>45872</v>
      </c>
      <c r="F201" s="5">
        <f t="shared" ca="1" si="28"/>
        <v>45877</v>
      </c>
      <c r="G201" s="4"/>
      <c r="H201" s="4"/>
      <c r="I201" s="4" t="str">
        <f t="shared" si="29"/>
        <v>In Transit</v>
      </c>
      <c r="J201" s="4" t="str">
        <f ca="1">"("&amp;B201&amp;", "&amp;C201&amp;", "&amp;D201&amp;", "&amp;"'"&amp;TEXT(E201,"yyyy-mm-dd")&amp;"'"&amp;", "&amp;"'"&amp;TEXT(F201,"yyyy-mm-dd")&amp;"'"&amp;", "&amp;IF(G201="","NULL","'"&amp;TEXT(G201,"yyyy-mm-dd")&amp;"'")&amp;", "&amp;IF(H201="","NULL","'"&amp;H201&amp;"'")&amp;", "&amp;"'"&amp;I201&amp;"'"&amp;")"&amp;";"</f>
        <v>(6, 6, 1, '2025-08-03', '2025-08-08', NULL, NULL, 'In Transit');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588F-6FC9-4FA9-A7AC-72638D7B4572}">
  <dimension ref="A1:J201"/>
  <sheetViews>
    <sheetView topLeftCell="B139" workbookViewId="0">
      <selection activeCell="H142" sqref="H142"/>
    </sheetView>
  </sheetViews>
  <sheetFormatPr defaultRowHeight="14.4" x14ac:dyDescent="0.3"/>
  <cols>
    <col min="1" max="1" width="16.44140625" customWidth="1"/>
    <col min="2" max="2" width="16.5546875" customWidth="1"/>
    <col min="3" max="3" width="21.6640625" customWidth="1"/>
    <col min="4" max="4" width="13.77734375" customWidth="1"/>
    <col min="5" max="5" width="13.33203125" customWidth="1"/>
    <col min="6" max="6" width="27.21875" customWidth="1"/>
    <col min="7" max="7" width="21.33203125" customWidth="1"/>
    <col min="8" max="8" width="12.6640625" customWidth="1"/>
    <col min="9" max="9" width="11.44140625" customWidth="1"/>
    <col min="10" max="10" width="62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9</v>
      </c>
      <c r="C2" s="2">
        <v>1</v>
      </c>
      <c r="D2" s="2">
        <v>1</v>
      </c>
      <c r="E2" s="3">
        <v>45863</v>
      </c>
      <c r="F2" s="3">
        <v>45866</v>
      </c>
      <c r="G2" s="3">
        <v>45864</v>
      </c>
      <c r="H2" s="2"/>
      <c r="I2" s="2" t="s">
        <v>10</v>
      </c>
      <c r="J2" s="2" t="s">
        <v>18</v>
      </c>
    </row>
    <row r="3" spans="1:10" x14ac:dyDescent="0.3">
      <c r="A3" s="2">
        <v>2</v>
      </c>
      <c r="B3" s="2">
        <v>10</v>
      </c>
      <c r="C3" s="2">
        <v>8</v>
      </c>
      <c r="D3" s="2">
        <v>1</v>
      </c>
      <c r="E3" s="3">
        <v>46000</v>
      </c>
      <c r="F3" s="3">
        <v>46005</v>
      </c>
      <c r="G3" s="3">
        <v>46003</v>
      </c>
      <c r="H3" s="2"/>
      <c r="I3" s="2" t="s">
        <v>10</v>
      </c>
      <c r="J3" s="2" t="s">
        <v>19</v>
      </c>
    </row>
    <row r="4" spans="1:10" x14ac:dyDescent="0.3">
      <c r="A4" s="2">
        <v>3</v>
      </c>
      <c r="B4" s="2">
        <v>3</v>
      </c>
      <c r="C4" s="2">
        <v>2</v>
      </c>
      <c r="D4" s="2">
        <v>1</v>
      </c>
      <c r="E4" s="3">
        <v>45919</v>
      </c>
      <c r="F4" s="3">
        <v>45922</v>
      </c>
      <c r="G4" s="3">
        <v>45922</v>
      </c>
      <c r="H4" s="2"/>
      <c r="I4" s="2" t="s">
        <v>10</v>
      </c>
      <c r="J4" s="2" t="s">
        <v>20</v>
      </c>
    </row>
    <row r="5" spans="1:10" x14ac:dyDescent="0.3">
      <c r="A5" s="2">
        <v>4</v>
      </c>
      <c r="B5" s="2">
        <v>10</v>
      </c>
      <c r="C5" s="2">
        <v>6</v>
      </c>
      <c r="D5" s="2">
        <v>1</v>
      </c>
      <c r="E5" s="3">
        <v>45853</v>
      </c>
      <c r="F5" s="3">
        <v>45858</v>
      </c>
      <c r="G5" s="3">
        <v>45858</v>
      </c>
      <c r="H5" s="2"/>
      <c r="I5" s="2" t="s">
        <v>10</v>
      </c>
      <c r="J5" s="2" t="s">
        <v>21</v>
      </c>
    </row>
    <row r="6" spans="1:10" x14ac:dyDescent="0.3">
      <c r="A6" s="2">
        <v>5</v>
      </c>
      <c r="B6" s="2">
        <v>7</v>
      </c>
      <c r="C6" s="2">
        <v>8</v>
      </c>
      <c r="D6" s="2">
        <v>2</v>
      </c>
      <c r="E6" s="3">
        <v>45929</v>
      </c>
      <c r="F6" s="3">
        <v>45933</v>
      </c>
      <c r="G6" s="3">
        <v>45931</v>
      </c>
      <c r="H6" s="2"/>
      <c r="I6" s="2" t="s">
        <v>10</v>
      </c>
      <c r="J6" s="2" t="s">
        <v>22</v>
      </c>
    </row>
    <row r="7" spans="1:10" x14ac:dyDescent="0.3">
      <c r="A7" s="2">
        <v>6</v>
      </c>
      <c r="B7" s="2">
        <v>9</v>
      </c>
      <c r="C7" s="2">
        <v>4</v>
      </c>
      <c r="D7" s="2">
        <v>3</v>
      </c>
      <c r="E7" s="3">
        <v>45853</v>
      </c>
      <c r="F7" s="3">
        <v>45857</v>
      </c>
      <c r="G7" s="3">
        <v>45854</v>
      </c>
      <c r="H7" s="2"/>
      <c r="I7" s="2" t="s">
        <v>10</v>
      </c>
      <c r="J7" s="2" t="s">
        <v>23</v>
      </c>
    </row>
    <row r="8" spans="1:10" x14ac:dyDescent="0.3">
      <c r="A8" s="2">
        <v>7</v>
      </c>
      <c r="B8" s="2">
        <v>9</v>
      </c>
      <c r="C8" s="2">
        <v>5</v>
      </c>
      <c r="D8" s="2">
        <v>5</v>
      </c>
      <c r="E8" s="3">
        <v>45849</v>
      </c>
      <c r="F8" s="3">
        <v>45852</v>
      </c>
      <c r="G8" s="3">
        <v>45851</v>
      </c>
      <c r="H8" s="2"/>
      <c r="I8" s="2" t="s">
        <v>10</v>
      </c>
      <c r="J8" s="2" t="s">
        <v>24</v>
      </c>
    </row>
    <row r="9" spans="1:10" x14ac:dyDescent="0.3">
      <c r="A9" s="2">
        <v>8</v>
      </c>
      <c r="B9" s="2">
        <v>6</v>
      </c>
      <c r="C9" s="2">
        <v>2</v>
      </c>
      <c r="D9" s="2">
        <v>2</v>
      </c>
      <c r="E9" s="3">
        <v>45912</v>
      </c>
      <c r="F9" s="3">
        <v>45916</v>
      </c>
      <c r="G9" s="3">
        <v>45916</v>
      </c>
      <c r="H9" s="2"/>
      <c r="I9" s="2" t="s">
        <v>10</v>
      </c>
      <c r="J9" s="2" t="s">
        <v>25</v>
      </c>
    </row>
    <row r="10" spans="1:10" x14ac:dyDescent="0.3">
      <c r="A10" s="2">
        <v>9</v>
      </c>
      <c r="B10" s="2">
        <v>6</v>
      </c>
      <c r="C10" s="2">
        <v>9</v>
      </c>
      <c r="D10" s="2">
        <v>1</v>
      </c>
      <c r="E10" s="3">
        <v>45849</v>
      </c>
      <c r="F10" s="3">
        <v>45852</v>
      </c>
      <c r="G10" s="3">
        <v>45850</v>
      </c>
      <c r="H10" s="2"/>
      <c r="I10" s="2" t="s">
        <v>10</v>
      </c>
      <c r="J10" s="2" t="s">
        <v>26</v>
      </c>
    </row>
    <row r="11" spans="1:10" x14ac:dyDescent="0.3">
      <c r="A11" s="2">
        <v>10</v>
      </c>
      <c r="B11" s="2">
        <v>7</v>
      </c>
      <c r="C11" s="2">
        <v>8</v>
      </c>
      <c r="D11" s="2">
        <v>5</v>
      </c>
      <c r="E11" s="3">
        <v>45881</v>
      </c>
      <c r="F11" s="3">
        <v>45886</v>
      </c>
      <c r="G11" s="3">
        <v>45886</v>
      </c>
      <c r="H11" s="2"/>
      <c r="I11" s="2" t="s">
        <v>10</v>
      </c>
      <c r="J11" s="2" t="s">
        <v>27</v>
      </c>
    </row>
    <row r="12" spans="1:10" x14ac:dyDescent="0.3">
      <c r="A12" s="2">
        <v>11</v>
      </c>
      <c r="B12" s="2">
        <v>5</v>
      </c>
      <c r="C12" s="2">
        <v>7</v>
      </c>
      <c r="D12" s="2">
        <v>2</v>
      </c>
      <c r="E12" s="3">
        <v>45872</v>
      </c>
      <c r="F12" s="3">
        <v>45877</v>
      </c>
      <c r="G12" s="3">
        <v>45875</v>
      </c>
      <c r="H12" s="2"/>
      <c r="I12" s="2" t="s">
        <v>10</v>
      </c>
      <c r="J12" s="2" t="s">
        <v>28</v>
      </c>
    </row>
    <row r="13" spans="1:10" x14ac:dyDescent="0.3">
      <c r="A13" s="2">
        <v>12</v>
      </c>
      <c r="B13" s="2">
        <v>6</v>
      </c>
      <c r="C13" s="2">
        <v>10</v>
      </c>
      <c r="D13" s="2">
        <v>3</v>
      </c>
      <c r="E13" s="3">
        <v>46017</v>
      </c>
      <c r="F13" s="3">
        <v>46022</v>
      </c>
      <c r="G13" s="3">
        <v>46021</v>
      </c>
      <c r="H13" s="2"/>
      <c r="I13" s="2" t="s">
        <v>10</v>
      </c>
      <c r="J13" s="2" t="s">
        <v>29</v>
      </c>
    </row>
    <row r="14" spans="1:10" x14ac:dyDescent="0.3">
      <c r="A14" s="2">
        <v>13</v>
      </c>
      <c r="B14" s="2">
        <v>8</v>
      </c>
      <c r="C14" s="2">
        <v>1</v>
      </c>
      <c r="D14" s="2">
        <v>3</v>
      </c>
      <c r="E14" s="3">
        <v>45922</v>
      </c>
      <c r="F14" s="3">
        <v>45925</v>
      </c>
      <c r="G14" s="3">
        <v>45922</v>
      </c>
      <c r="H14" s="2"/>
      <c r="I14" s="2" t="s">
        <v>10</v>
      </c>
      <c r="J14" s="2" t="s">
        <v>30</v>
      </c>
    </row>
    <row r="15" spans="1:10" x14ac:dyDescent="0.3">
      <c r="A15" s="2">
        <v>14</v>
      </c>
      <c r="B15" s="2">
        <v>2</v>
      </c>
      <c r="C15" s="2">
        <v>9</v>
      </c>
      <c r="D15" s="2">
        <v>5</v>
      </c>
      <c r="E15" s="3">
        <v>45909</v>
      </c>
      <c r="F15" s="3">
        <v>45913</v>
      </c>
      <c r="G15" s="3">
        <v>45913</v>
      </c>
      <c r="H15" s="2"/>
      <c r="I15" s="2" t="s">
        <v>10</v>
      </c>
      <c r="J15" s="2" t="s">
        <v>31</v>
      </c>
    </row>
    <row r="16" spans="1:10" x14ac:dyDescent="0.3">
      <c r="A16" s="2">
        <v>15</v>
      </c>
      <c r="B16" s="2">
        <v>6</v>
      </c>
      <c r="C16" s="2">
        <v>2</v>
      </c>
      <c r="D16" s="2">
        <v>4</v>
      </c>
      <c r="E16" s="3">
        <v>45935</v>
      </c>
      <c r="F16" s="3">
        <v>45939</v>
      </c>
      <c r="G16" s="3">
        <v>45939</v>
      </c>
      <c r="H16" s="2"/>
      <c r="I16" s="2" t="s">
        <v>10</v>
      </c>
      <c r="J16" s="2" t="s">
        <v>32</v>
      </c>
    </row>
    <row r="17" spans="1:10" x14ac:dyDescent="0.3">
      <c r="A17" s="2">
        <v>16</v>
      </c>
      <c r="B17" s="2">
        <v>5</v>
      </c>
      <c r="C17" s="2">
        <v>5</v>
      </c>
      <c r="D17" s="2">
        <v>4</v>
      </c>
      <c r="E17" s="3">
        <v>46000</v>
      </c>
      <c r="F17" s="3">
        <v>46004</v>
      </c>
      <c r="G17" s="3">
        <v>46002</v>
      </c>
      <c r="H17" s="2"/>
      <c r="I17" s="2" t="s">
        <v>10</v>
      </c>
      <c r="J17" s="2" t="s">
        <v>33</v>
      </c>
    </row>
    <row r="18" spans="1:10" x14ac:dyDescent="0.3">
      <c r="A18" s="2">
        <v>17</v>
      </c>
      <c r="B18" s="2">
        <v>5</v>
      </c>
      <c r="C18" s="2">
        <v>10</v>
      </c>
      <c r="D18" s="2">
        <v>3</v>
      </c>
      <c r="E18" s="3">
        <v>45969</v>
      </c>
      <c r="F18" s="3">
        <v>45974</v>
      </c>
      <c r="G18" s="3">
        <v>45971</v>
      </c>
      <c r="H18" s="2"/>
      <c r="I18" s="2" t="s">
        <v>10</v>
      </c>
      <c r="J18" s="2" t="s">
        <v>34</v>
      </c>
    </row>
    <row r="19" spans="1:10" x14ac:dyDescent="0.3">
      <c r="A19" s="2">
        <v>18</v>
      </c>
      <c r="B19" s="2">
        <v>8</v>
      </c>
      <c r="C19" s="2">
        <v>1</v>
      </c>
      <c r="D19" s="2">
        <v>1</v>
      </c>
      <c r="E19" s="3">
        <v>45914</v>
      </c>
      <c r="F19" s="3">
        <v>45919</v>
      </c>
      <c r="G19" s="3">
        <v>45916</v>
      </c>
      <c r="H19" s="2"/>
      <c r="I19" s="2" t="s">
        <v>10</v>
      </c>
      <c r="J19" s="2" t="s">
        <v>35</v>
      </c>
    </row>
    <row r="20" spans="1:10" x14ac:dyDescent="0.3">
      <c r="A20" s="2">
        <v>19</v>
      </c>
      <c r="B20" s="2">
        <v>3</v>
      </c>
      <c r="C20" s="2">
        <v>4</v>
      </c>
      <c r="D20" s="2">
        <v>5</v>
      </c>
      <c r="E20" s="3">
        <v>45978</v>
      </c>
      <c r="F20" s="3">
        <v>45983</v>
      </c>
      <c r="G20" s="3">
        <v>45983</v>
      </c>
      <c r="H20" s="2"/>
      <c r="I20" s="2" t="s">
        <v>10</v>
      </c>
      <c r="J20" s="2" t="s">
        <v>36</v>
      </c>
    </row>
    <row r="21" spans="1:10" x14ac:dyDescent="0.3">
      <c r="A21" s="2">
        <v>20</v>
      </c>
      <c r="B21" s="2">
        <v>5</v>
      </c>
      <c r="C21" s="2">
        <v>3</v>
      </c>
      <c r="D21" s="2">
        <v>4</v>
      </c>
      <c r="E21" s="3">
        <v>45939</v>
      </c>
      <c r="F21" s="3">
        <v>45944</v>
      </c>
      <c r="G21" s="3">
        <v>45941</v>
      </c>
      <c r="H21" s="2"/>
      <c r="I21" s="2" t="s">
        <v>10</v>
      </c>
      <c r="J21" s="2" t="s">
        <v>37</v>
      </c>
    </row>
    <row r="22" spans="1:10" x14ac:dyDescent="0.3">
      <c r="A22" s="2">
        <v>21</v>
      </c>
      <c r="B22" s="2">
        <v>9</v>
      </c>
      <c r="C22" s="2">
        <v>3</v>
      </c>
      <c r="D22" s="2">
        <v>4</v>
      </c>
      <c r="E22" s="3">
        <v>45926</v>
      </c>
      <c r="F22" s="3">
        <v>45931</v>
      </c>
      <c r="G22" s="3">
        <v>45929</v>
      </c>
      <c r="H22" s="2"/>
      <c r="I22" s="2" t="s">
        <v>10</v>
      </c>
      <c r="J22" s="2" t="s">
        <v>38</v>
      </c>
    </row>
    <row r="23" spans="1:10" x14ac:dyDescent="0.3">
      <c r="A23" s="2">
        <v>22</v>
      </c>
      <c r="B23" s="2">
        <v>9</v>
      </c>
      <c r="C23" s="2">
        <v>7</v>
      </c>
      <c r="D23" s="2">
        <v>3</v>
      </c>
      <c r="E23" s="3">
        <v>46016</v>
      </c>
      <c r="F23" s="3">
        <v>46020</v>
      </c>
      <c r="G23" s="3">
        <v>46017</v>
      </c>
      <c r="H23" s="2"/>
      <c r="I23" s="2" t="s">
        <v>10</v>
      </c>
      <c r="J23" s="2" t="s">
        <v>39</v>
      </c>
    </row>
    <row r="24" spans="1:10" x14ac:dyDescent="0.3">
      <c r="A24" s="2">
        <v>23</v>
      </c>
      <c r="B24" s="2">
        <v>9</v>
      </c>
      <c r="C24" s="2">
        <v>1</v>
      </c>
      <c r="D24" s="2">
        <v>3</v>
      </c>
      <c r="E24" s="3">
        <v>45870</v>
      </c>
      <c r="F24" s="3">
        <v>45874</v>
      </c>
      <c r="G24" s="3">
        <v>45874</v>
      </c>
      <c r="H24" s="2"/>
      <c r="I24" s="2" t="s">
        <v>10</v>
      </c>
      <c r="J24" s="2" t="s">
        <v>40</v>
      </c>
    </row>
    <row r="25" spans="1:10" x14ac:dyDescent="0.3">
      <c r="A25" s="2">
        <v>24</v>
      </c>
      <c r="B25" s="2">
        <v>9</v>
      </c>
      <c r="C25" s="2">
        <v>1</v>
      </c>
      <c r="D25" s="2">
        <v>4</v>
      </c>
      <c r="E25" s="3">
        <v>46010</v>
      </c>
      <c r="F25" s="3">
        <v>46015</v>
      </c>
      <c r="G25" s="3">
        <v>46015</v>
      </c>
      <c r="H25" s="2"/>
      <c r="I25" s="2" t="s">
        <v>10</v>
      </c>
      <c r="J25" s="2" t="s">
        <v>41</v>
      </c>
    </row>
    <row r="26" spans="1:10" x14ac:dyDescent="0.3">
      <c r="A26" s="2">
        <v>25</v>
      </c>
      <c r="B26" s="2">
        <v>6</v>
      </c>
      <c r="C26" s="2">
        <v>3</v>
      </c>
      <c r="D26" s="2">
        <v>2</v>
      </c>
      <c r="E26" s="3">
        <v>45880</v>
      </c>
      <c r="F26" s="3">
        <v>45885</v>
      </c>
      <c r="G26" s="3">
        <v>45884</v>
      </c>
      <c r="H26" s="2"/>
      <c r="I26" s="2" t="s">
        <v>10</v>
      </c>
      <c r="J26" s="2" t="s">
        <v>42</v>
      </c>
    </row>
    <row r="27" spans="1:10" x14ac:dyDescent="0.3">
      <c r="A27" s="2">
        <v>26</v>
      </c>
      <c r="B27" s="2">
        <v>6</v>
      </c>
      <c r="C27" s="2">
        <v>8</v>
      </c>
      <c r="D27" s="2">
        <v>1</v>
      </c>
      <c r="E27" s="3">
        <v>45975</v>
      </c>
      <c r="F27" s="3">
        <v>45980</v>
      </c>
      <c r="G27" s="3">
        <v>45979</v>
      </c>
      <c r="H27" s="2"/>
      <c r="I27" s="2" t="s">
        <v>10</v>
      </c>
      <c r="J27" s="2" t="s">
        <v>43</v>
      </c>
    </row>
    <row r="28" spans="1:10" x14ac:dyDescent="0.3">
      <c r="A28" s="2">
        <v>27</v>
      </c>
      <c r="B28" s="2">
        <v>8</v>
      </c>
      <c r="C28" s="2">
        <v>3</v>
      </c>
      <c r="D28" s="2">
        <v>3</v>
      </c>
      <c r="E28" s="3">
        <v>45981</v>
      </c>
      <c r="F28" s="3">
        <v>45986</v>
      </c>
      <c r="G28" s="3">
        <v>45983</v>
      </c>
      <c r="H28" s="2"/>
      <c r="I28" s="2" t="s">
        <v>10</v>
      </c>
      <c r="J28" s="2" t="s">
        <v>44</v>
      </c>
    </row>
    <row r="29" spans="1:10" x14ac:dyDescent="0.3">
      <c r="A29" s="2">
        <v>28</v>
      </c>
      <c r="B29" s="2">
        <v>1</v>
      </c>
      <c r="C29" s="2">
        <v>10</v>
      </c>
      <c r="D29" s="2">
        <v>1</v>
      </c>
      <c r="E29" s="3">
        <v>45943</v>
      </c>
      <c r="F29" s="3">
        <v>45946</v>
      </c>
      <c r="G29" s="3">
        <v>45943</v>
      </c>
      <c r="H29" s="2"/>
      <c r="I29" s="2" t="s">
        <v>10</v>
      </c>
      <c r="J29" s="2" t="s">
        <v>45</v>
      </c>
    </row>
    <row r="30" spans="1:10" x14ac:dyDescent="0.3">
      <c r="A30" s="2">
        <v>29</v>
      </c>
      <c r="B30" s="2">
        <v>2</v>
      </c>
      <c r="C30" s="2">
        <v>9</v>
      </c>
      <c r="D30" s="2">
        <v>3</v>
      </c>
      <c r="E30" s="3">
        <v>45874</v>
      </c>
      <c r="F30" s="3">
        <v>45877</v>
      </c>
      <c r="G30" s="3">
        <v>45877</v>
      </c>
      <c r="H30" s="2"/>
      <c r="I30" s="2" t="s">
        <v>10</v>
      </c>
      <c r="J30" s="2" t="s">
        <v>46</v>
      </c>
    </row>
    <row r="31" spans="1:10" x14ac:dyDescent="0.3">
      <c r="A31" s="2">
        <v>30</v>
      </c>
      <c r="B31" s="2">
        <v>8</v>
      </c>
      <c r="C31" s="2">
        <v>5</v>
      </c>
      <c r="D31" s="2">
        <v>1</v>
      </c>
      <c r="E31" s="3">
        <v>45870</v>
      </c>
      <c r="F31" s="3">
        <v>45874</v>
      </c>
      <c r="G31" s="3">
        <v>45872</v>
      </c>
      <c r="H31" s="2"/>
      <c r="I31" s="2" t="s">
        <v>10</v>
      </c>
      <c r="J31" s="2" t="s">
        <v>47</v>
      </c>
    </row>
    <row r="32" spans="1:10" x14ac:dyDescent="0.3">
      <c r="A32" s="2">
        <v>31</v>
      </c>
      <c r="B32" s="2">
        <v>2</v>
      </c>
      <c r="C32" s="2">
        <v>6</v>
      </c>
      <c r="D32" s="2">
        <v>1</v>
      </c>
      <c r="E32" s="3">
        <v>45984</v>
      </c>
      <c r="F32" s="3">
        <v>45989</v>
      </c>
      <c r="G32" s="3">
        <v>45988</v>
      </c>
      <c r="H32" s="2"/>
      <c r="I32" s="2" t="s">
        <v>10</v>
      </c>
      <c r="J32" s="2" t="s">
        <v>48</v>
      </c>
    </row>
    <row r="33" spans="1:10" x14ac:dyDescent="0.3">
      <c r="A33" s="2">
        <v>32</v>
      </c>
      <c r="B33" s="2">
        <v>1</v>
      </c>
      <c r="C33" s="2">
        <v>10</v>
      </c>
      <c r="D33" s="2">
        <v>4</v>
      </c>
      <c r="E33" s="3">
        <v>45986</v>
      </c>
      <c r="F33" s="3">
        <v>45989</v>
      </c>
      <c r="G33" s="3">
        <v>45987</v>
      </c>
      <c r="H33" s="2"/>
      <c r="I33" s="2" t="s">
        <v>10</v>
      </c>
      <c r="J33" s="2" t="s">
        <v>49</v>
      </c>
    </row>
    <row r="34" spans="1:10" x14ac:dyDescent="0.3">
      <c r="A34" s="2">
        <v>33</v>
      </c>
      <c r="B34" s="2">
        <v>5</v>
      </c>
      <c r="C34" s="2">
        <v>4</v>
      </c>
      <c r="D34" s="2">
        <v>2</v>
      </c>
      <c r="E34" s="3">
        <v>45912</v>
      </c>
      <c r="F34" s="3">
        <v>45915</v>
      </c>
      <c r="G34" s="3">
        <v>45912</v>
      </c>
      <c r="H34" s="2"/>
      <c r="I34" s="2" t="s">
        <v>10</v>
      </c>
      <c r="J34" s="2" t="s">
        <v>50</v>
      </c>
    </row>
    <row r="35" spans="1:10" x14ac:dyDescent="0.3">
      <c r="A35" s="2">
        <v>34</v>
      </c>
      <c r="B35" s="2">
        <v>5</v>
      </c>
      <c r="C35" s="2">
        <v>2</v>
      </c>
      <c r="D35" s="2">
        <v>3</v>
      </c>
      <c r="E35" s="3">
        <v>45935</v>
      </c>
      <c r="F35" s="3">
        <v>45940</v>
      </c>
      <c r="G35" s="3">
        <v>45939</v>
      </c>
      <c r="H35" s="2"/>
      <c r="I35" s="2" t="s">
        <v>10</v>
      </c>
      <c r="J35" s="2" t="s">
        <v>51</v>
      </c>
    </row>
    <row r="36" spans="1:10" x14ac:dyDescent="0.3">
      <c r="A36" s="2">
        <v>35</v>
      </c>
      <c r="B36" s="2">
        <v>1</v>
      </c>
      <c r="C36" s="2">
        <v>4</v>
      </c>
      <c r="D36" s="2">
        <v>5</v>
      </c>
      <c r="E36" s="3">
        <v>45914</v>
      </c>
      <c r="F36" s="3">
        <v>45919</v>
      </c>
      <c r="G36" s="3">
        <v>45916</v>
      </c>
      <c r="H36" s="2"/>
      <c r="I36" s="2" t="s">
        <v>10</v>
      </c>
      <c r="J36" s="2" t="s">
        <v>52</v>
      </c>
    </row>
    <row r="37" spans="1:10" x14ac:dyDescent="0.3">
      <c r="A37" s="2">
        <v>36</v>
      </c>
      <c r="B37" s="2">
        <v>10</v>
      </c>
      <c r="C37" s="2">
        <v>3</v>
      </c>
      <c r="D37" s="2">
        <v>5</v>
      </c>
      <c r="E37" s="3">
        <v>45840</v>
      </c>
      <c r="F37" s="3">
        <v>45844</v>
      </c>
      <c r="G37" s="3">
        <v>45841</v>
      </c>
      <c r="H37" s="2"/>
      <c r="I37" s="2" t="s">
        <v>10</v>
      </c>
      <c r="J37" s="2" t="s">
        <v>53</v>
      </c>
    </row>
    <row r="38" spans="1:10" x14ac:dyDescent="0.3">
      <c r="A38" s="2">
        <v>37</v>
      </c>
      <c r="B38" s="2">
        <v>3</v>
      </c>
      <c r="C38" s="2">
        <v>8</v>
      </c>
      <c r="D38" s="2">
        <v>5</v>
      </c>
      <c r="E38" s="3">
        <v>45971</v>
      </c>
      <c r="F38" s="3">
        <v>45976</v>
      </c>
      <c r="G38" s="3">
        <v>45973</v>
      </c>
      <c r="H38" s="2"/>
      <c r="I38" s="2" t="s">
        <v>10</v>
      </c>
      <c r="J38" s="2" t="s">
        <v>54</v>
      </c>
    </row>
    <row r="39" spans="1:10" x14ac:dyDescent="0.3">
      <c r="A39" s="2">
        <v>38</v>
      </c>
      <c r="B39" s="2">
        <v>9</v>
      </c>
      <c r="C39" s="2">
        <v>9</v>
      </c>
      <c r="D39" s="2">
        <v>4</v>
      </c>
      <c r="E39" s="3">
        <v>45890</v>
      </c>
      <c r="F39" s="3">
        <v>45893</v>
      </c>
      <c r="G39" s="3">
        <v>45893</v>
      </c>
      <c r="H39" s="2"/>
      <c r="I39" s="2" t="s">
        <v>10</v>
      </c>
      <c r="J39" s="2" t="s">
        <v>55</v>
      </c>
    </row>
    <row r="40" spans="1:10" x14ac:dyDescent="0.3">
      <c r="A40" s="2">
        <v>39</v>
      </c>
      <c r="B40" s="2">
        <v>1</v>
      </c>
      <c r="C40" s="2">
        <v>10</v>
      </c>
      <c r="D40" s="2">
        <v>1</v>
      </c>
      <c r="E40" s="3">
        <v>45986</v>
      </c>
      <c r="F40" s="3">
        <v>45990</v>
      </c>
      <c r="G40" s="3">
        <v>45987</v>
      </c>
      <c r="H40" s="2"/>
      <c r="I40" s="2" t="s">
        <v>10</v>
      </c>
      <c r="J40" s="2" t="s">
        <v>56</v>
      </c>
    </row>
    <row r="41" spans="1:10" x14ac:dyDescent="0.3">
      <c r="A41" s="2">
        <v>40</v>
      </c>
      <c r="B41" s="2">
        <v>8</v>
      </c>
      <c r="C41" s="2">
        <v>6</v>
      </c>
      <c r="D41" s="2">
        <v>1</v>
      </c>
      <c r="E41" s="3">
        <v>45927</v>
      </c>
      <c r="F41" s="3">
        <v>45932</v>
      </c>
      <c r="G41" s="3">
        <v>45929</v>
      </c>
      <c r="H41" s="2"/>
      <c r="I41" s="2" t="s">
        <v>10</v>
      </c>
      <c r="J41" s="2" t="s">
        <v>57</v>
      </c>
    </row>
    <row r="42" spans="1:10" x14ac:dyDescent="0.3">
      <c r="A42" s="2">
        <v>41</v>
      </c>
      <c r="B42" s="2">
        <v>9</v>
      </c>
      <c r="C42" s="2">
        <v>6</v>
      </c>
      <c r="D42" s="2">
        <v>1</v>
      </c>
      <c r="E42" s="3">
        <v>45996</v>
      </c>
      <c r="F42" s="3">
        <v>46001</v>
      </c>
      <c r="G42" s="3">
        <v>45999</v>
      </c>
      <c r="H42" s="2"/>
      <c r="I42" s="2" t="s">
        <v>10</v>
      </c>
      <c r="J42" s="2" t="s">
        <v>58</v>
      </c>
    </row>
    <row r="43" spans="1:10" x14ac:dyDescent="0.3">
      <c r="A43" s="2">
        <v>42</v>
      </c>
      <c r="B43" s="2">
        <v>2</v>
      </c>
      <c r="C43" s="2">
        <v>2</v>
      </c>
      <c r="D43" s="2">
        <v>1</v>
      </c>
      <c r="E43" s="3">
        <v>46020</v>
      </c>
      <c r="F43" s="3">
        <v>46023</v>
      </c>
      <c r="G43" s="3">
        <v>46020</v>
      </c>
      <c r="H43" s="2"/>
      <c r="I43" s="2" t="s">
        <v>10</v>
      </c>
      <c r="J43" s="2" t="s">
        <v>59</v>
      </c>
    </row>
    <row r="44" spans="1:10" x14ac:dyDescent="0.3">
      <c r="A44" s="2">
        <v>43</v>
      </c>
      <c r="B44" s="2">
        <v>1</v>
      </c>
      <c r="C44" s="2">
        <v>4</v>
      </c>
      <c r="D44" s="2">
        <v>1</v>
      </c>
      <c r="E44" s="3">
        <v>45987</v>
      </c>
      <c r="F44" s="3">
        <v>45991</v>
      </c>
      <c r="G44" s="3">
        <v>45991</v>
      </c>
      <c r="H44" s="2"/>
      <c r="I44" s="2" t="s">
        <v>10</v>
      </c>
      <c r="J44" s="2" t="s">
        <v>60</v>
      </c>
    </row>
    <row r="45" spans="1:10" x14ac:dyDescent="0.3">
      <c r="A45" s="2">
        <v>44</v>
      </c>
      <c r="B45" s="2">
        <v>8</v>
      </c>
      <c r="C45" s="2">
        <v>6</v>
      </c>
      <c r="D45" s="2">
        <v>2</v>
      </c>
      <c r="E45" s="3">
        <v>45843</v>
      </c>
      <c r="F45" s="3">
        <v>45846</v>
      </c>
      <c r="G45" s="3">
        <v>45844</v>
      </c>
      <c r="H45" s="2"/>
      <c r="I45" s="2" t="s">
        <v>10</v>
      </c>
      <c r="J45" s="2" t="s">
        <v>61</v>
      </c>
    </row>
    <row r="46" spans="1:10" x14ac:dyDescent="0.3">
      <c r="A46" s="2">
        <v>45</v>
      </c>
      <c r="B46" s="2">
        <v>1</v>
      </c>
      <c r="C46" s="2">
        <v>8</v>
      </c>
      <c r="D46" s="2">
        <v>5</v>
      </c>
      <c r="E46" s="3">
        <v>45844</v>
      </c>
      <c r="F46" s="3">
        <v>45847</v>
      </c>
      <c r="G46" s="3">
        <v>45844</v>
      </c>
      <c r="H46" s="2"/>
      <c r="I46" s="2" t="s">
        <v>10</v>
      </c>
      <c r="J46" s="2" t="s">
        <v>62</v>
      </c>
    </row>
    <row r="47" spans="1:10" x14ac:dyDescent="0.3">
      <c r="A47" s="2">
        <v>46</v>
      </c>
      <c r="B47" s="2">
        <v>4</v>
      </c>
      <c r="C47" s="2">
        <v>8</v>
      </c>
      <c r="D47" s="2">
        <v>5</v>
      </c>
      <c r="E47" s="3">
        <v>45983</v>
      </c>
      <c r="F47" s="3">
        <v>45986</v>
      </c>
      <c r="G47" s="3">
        <v>45985</v>
      </c>
      <c r="H47" s="2"/>
      <c r="I47" s="2" t="s">
        <v>10</v>
      </c>
      <c r="J47" s="2" t="s">
        <v>63</v>
      </c>
    </row>
    <row r="48" spans="1:10" x14ac:dyDescent="0.3">
      <c r="A48" s="2">
        <v>47</v>
      </c>
      <c r="B48" s="2">
        <v>9</v>
      </c>
      <c r="C48" s="2">
        <v>2</v>
      </c>
      <c r="D48" s="2">
        <v>5</v>
      </c>
      <c r="E48" s="3">
        <v>45990</v>
      </c>
      <c r="F48" s="3">
        <v>45994</v>
      </c>
      <c r="G48" s="3">
        <v>45994</v>
      </c>
      <c r="H48" s="2"/>
      <c r="I48" s="2" t="s">
        <v>10</v>
      </c>
      <c r="J48" s="2" t="s">
        <v>64</v>
      </c>
    </row>
    <row r="49" spans="1:10" x14ac:dyDescent="0.3">
      <c r="A49" s="2">
        <v>48</v>
      </c>
      <c r="B49" s="2">
        <v>2</v>
      </c>
      <c r="C49" s="2">
        <v>2</v>
      </c>
      <c r="D49" s="2">
        <v>2</v>
      </c>
      <c r="E49" s="3">
        <v>45940</v>
      </c>
      <c r="F49" s="3">
        <v>45943</v>
      </c>
      <c r="G49" s="3">
        <v>45941</v>
      </c>
      <c r="H49" s="2"/>
      <c r="I49" s="2" t="s">
        <v>10</v>
      </c>
      <c r="J49" s="2" t="s">
        <v>65</v>
      </c>
    </row>
    <row r="50" spans="1:10" x14ac:dyDescent="0.3">
      <c r="A50" s="2">
        <v>49</v>
      </c>
      <c r="B50" s="2">
        <v>7</v>
      </c>
      <c r="C50" s="2">
        <v>2</v>
      </c>
      <c r="D50" s="2">
        <v>1</v>
      </c>
      <c r="E50" s="3">
        <v>45914</v>
      </c>
      <c r="F50" s="3">
        <v>45917</v>
      </c>
      <c r="G50" s="3">
        <v>45914</v>
      </c>
      <c r="H50" s="2"/>
      <c r="I50" s="2" t="s">
        <v>10</v>
      </c>
      <c r="J50" s="2" t="s">
        <v>66</v>
      </c>
    </row>
    <row r="51" spans="1:10" x14ac:dyDescent="0.3">
      <c r="A51" s="2">
        <v>50</v>
      </c>
      <c r="B51" s="2">
        <v>10</v>
      </c>
      <c r="C51" s="2">
        <v>3</v>
      </c>
      <c r="D51" s="2">
        <v>3</v>
      </c>
      <c r="E51" s="3">
        <v>45918</v>
      </c>
      <c r="F51" s="3">
        <v>45922</v>
      </c>
      <c r="G51" s="3">
        <v>45922</v>
      </c>
      <c r="H51" s="2"/>
      <c r="I51" s="2" t="s">
        <v>10</v>
      </c>
      <c r="J51" s="2" t="s">
        <v>67</v>
      </c>
    </row>
    <row r="52" spans="1:10" x14ac:dyDescent="0.3">
      <c r="A52" s="2">
        <v>51</v>
      </c>
      <c r="B52" s="2">
        <v>3</v>
      </c>
      <c r="C52" s="2">
        <v>4</v>
      </c>
      <c r="D52" s="2">
        <v>5</v>
      </c>
      <c r="E52" s="3">
        <v>45927</v>
      </c>
      <c r="F52" s="3">
        <v>45932</v>
      </c>
      <c r="G52" s="3">
        <v>45931</v>
      </c>
      <c r="H52" s="2"/>
      <c r="I52" s="2" t="s">
        <v>10</v>
      </c>
      <c r="J52" s="2" t="s">
        <v>68</v>
      </c>
    </row>
    <row r="53" spans="1:10" x14ac:dyDescent="0.3">
      <c r="A53" s="2">
        <v>52</v>
      </c>
      <c r="B53" s="2">
        <v>4</v>
      </c>
      <c r="C53" s="2">
        <v>9</v>
      </c>
      <c r="D53" s="2">
        <v>4</v>
      </c>
      <c r="E53" s="3">
        <v>45847</v>
      </c>
      <c r="F53" s="3">
        <v>45851</v>
      </c>
      <c r="G53" s="3">
        <v>45849</v>
      </c>
      <c r="H53" s="2"/>
      <c r="I53" s="2" t="s">
        <v>10</v>
      </c>
      <c r="J53" s="2" t="s">
        <v>69</v>
      </c>
    </row>
    <row r="54" spans="1:10" x14ac:dyDescent="0.3">
      <c r="A54" s="2">
        <v>53</v>
      </c>
      <c r="B54" s="2">
        <v>2</v>
      </c>
      <c r="C54" s="2">
        <v>8</v>
      </c>
      <c r="D54" s="2">
        <v>2</v>
      </c>
      <c r="E54" s="3">
        <v>45877</v>
      </c>
      <c r="F54" s="3">
        <v>45881</v>
      </c>
      <c r="G54" s="3">
        <v>45879</v>
      </c>
      <c r="H54" s="2"/>
      <c r="I54" s="2" t="s">
        <v>10</v>
      </c>
      <c r="J54" s="2" t="s">
        <v>70</v>
      </c>
    </row>
    <row r="55" spans="1:10" x14ac:dyDescent="0.3">
      <c r="A55" s="2">
        <v>54</v>
      </c>
      <c r="B55" s="2">
        <v>2</v>
      </c>
      <c r="C55" s="2">
        <v>1</v>
      </c>
      <c r="D55" s="2">
        <v>3</v>
      </c>
      <c r="E55" s="3">
        <v>45924</v>
      </c>
      <c r="F55" s="3">
        <v>45927</v>
      </c>
      <c r="G55" s="3">
        <v>45925</v>
      </c>
      <c r="H55" s="2"/>
      <c r="I55" s="2" t="s">
        <v>10</v>
      </c>
      <c r="J55" s="2" t="s">
        <v>71</v>
      </c>
    </row>
    <row r="56" spans="1:10" x14ac:dyDescent="0.3">
      <c r="A56" s="2">
        <v>55</v>
      </c>
      <c r="B56" s="2">
        <v>6</v>
      </c>
      <c r="C56" s="2">
        <v>1</v>
      </c>
      <c r="D56" s="2">
        <v>2</v>
      </c>
      <c r="E56" s="3">
        <v>45995</v>
      </c>
      <c r="F56" s="3">
        <v>46000</v>
      </c>
      <c r="G56" s="3">
        <v>45999</v>
      </c>
      <c r="H56" s="2"/>
      <c r="I56" s="2" t="s">
        <v>10</v>
      </c>
      <c r="J56" s="2" t="s">
        <v>72</v>
      </c>
    </row>
    <row r="57" spans="1:10" x14ac:dyDescent="0.3">
      <c r="A57" s="2">
        <v>56</v>
      </c>
      <c r="B57" s="2">
        <v>6</v>
      </c>
      <c r="C57" s="2">
        <v>2</v>
      </c>
      <c r="D57" s="2">
        <v>5</v>
      </c>
      <c r="E57" s="3">
        <v>45893</v>
      </c>
      <c r="F57" s="3">
        <v>45897</v>
      </c>
      <c r="G57" s="3">
        <v>45894</v>
      </c>
      <c r="H57" s="2"/>
      <c r="I57" s="2" t="s">
        <v>10</v>
      </c>
      <c r="J57" s="2" t="s">
        <v>73</v>
      </c>
    </row>
    <row r="58" spans="1:10" x14ac:dyDescent="0.3">
      <c r="A58" s="2">
        <v>57</v>
      </c>
      <c r="B58" s="2">
        <v>7</v>
      </c>
      <c r="C58" s="2">
        <v>4</v>
      </c>
      <c r="D58" s="2">
        <v>5</v>
      </c>
      <c r="E58" s="3">
        <v>45867</v>
      </c>
      <c r="F58" s="3">
        <v>45872</v>
      </c>
      <c r="G58" s="3">
        <v>45869</v>
      </c>
      <c r="H58" s="2"/>
      <c r="I58" s="2" t="s">
        <v>10</v>
      </c>
      <c r="J58" s="2" t="s">
        <v>74</v>
      </c>
    </row>
    <row r="59" spans="1:10" x14ac:dyDescent="0.3">
      <c r="A59" s="2">
        <v>58</v>
      </c>
      <c r="B59" s="2">
        <v>1</v>
      </c>
      <c r="C59" s="2">
        <v>6</v>
      </c>
      <c r="D59" s="2">
        <v>3</v>
      </c>
      <c r="E59" s="3">
        <v>45944</v>
      </c>
      <c r="F59" s="3">
        <v>45948</v>
      </c>
      <c r="G59" s="3">
        <v>45945</v>
      </c>
      <c r="H59" s="2"/>
      <c r="I59" s="2" t="s">
        <v>10</v>
      </c>
      <c r="J59" s="2" t="s">
        <v>75</v>
      </c>
    </row>
    <row r="60" spans="1:10" x14ac:dyDescent="0.3">
      <c r="A60" s="2">
        <v>59</v>
      </c>
      <c r="B60" s="2">
        <v>9</v>
      </c>
      <c r="C60" s="2">
        <v>3</v>
      </c>
      <c r="D60" s="2">
        <v>4</v>
      </c>
      <c r="E60" s="3">
        <v>45906</v>
      </c>
      <c r="F60" s="3">
        <v>45909</v>
      </c>
      <c r="G60" s="3">
        <v>45909</v>
      </c>
      <c r="H60" s="2"/>
      <c r="I60" s="2" t="s">
        <v>10</v>
      </c>
      <c r="J60" s="2" t="s">
        <v>76</v>
      </c>
    </row>
    <row r="61" spans="1:10" x14ac:dyDescent="0.3">
      <c r="A61" s="2">
        <v>60</v>
      </c>
      <c r="B61" s="2">
        <v>4</v>
      </c>
      <c r="C61" s="2">
        <v>3</v>
      </c>
      <c r="D61" s="2">
        <v>3</v>
      </c>
      <c r="E61" s="3">
        <v>45867</v>
      </c>
      <c r="F61" s="3">
        <v>45872</v>
      </c>
      <c r="G61" s="3">
        <v>45872</v>
      </c>
      <c r="H61" s="2"/>
      <c r="I61" s="2" t="s">
        <v>10</v>
      </c>
      <c r="J61" s="2" t="s">
        <v>77</v>
      </c>
    </row>
    <row r="62" spans="1:10" x14ac:dyDescent="0.3">
      <c r="A62" s="2">
        <v>61</v>
      </c>
      <c r="B62" s="2">
        <v>8</v>
      </c>
      <c r="C62" s="2">
        <v>7</v>
      </c>
      <c r="D62" s="2">
        <v>2</v>
      </c>
      <c r="E62" s="3">
        <v>45870</v>
      </c>
      <c r="F62" s="3">
        <v>45873</v>
      </c>
      <c r="G62" s="3">
        <v>45873</v>
      </c>
      <c r="H62" s="2"/>
      <c r="I62" s="2" t="s">
        <v>10</v>
      </c>
      <c r="J62" s="2" t="s">
        <v>78</v>
      </c>
    </row>
    <row r="63" spans="1:10" x14ac:dyDescent="0.3">
      <c r="A63" s="2">
        <v>62</v>
      </c>
      <c r="B63" s="2">
        <v>6</v>
      </c>
      <c r="C63" s="2">
        <v>1</v>
      </c>
      <c r="D63" s="2">
        <v>5</v>
      </c>
      <c r="E63" s="3">
        <v>45868</v>
      </c>
      <c r="F63" s="3">
        <v>45873</v>
      </c>
      <c r="G63" s="3">
        <v>45871</v>
      </c>
      <c r="H63" s="2"/>
      <c r="I63" s="2" t="s">
        <v>10</v>
      </c>
      <c r="J63" s="2" t="s">
        <v>79</v>
      </c>
    </row>
    <row r="64" spans="1:10" x14ac:dyDescent="0.3">
      <c r="A64" s="2">
        <v>63</v>
      </c>
      <c r="B64" s="2">
        <v>1</v>
      </c>
      <c r="C64" s="2">
        <v>4</v>
      </c>
      <c r="D64" s="2">
        <v>5</v>
      </c>
      <c r="E64" s="3">
        <v>45886</v>
      </c>
      <c r="F64" s="3">
        <v>45889</v>
      </c>
      <c r="G64" s="3">
        <v>45889</v>
      </c>
      <c r="H64" s="2"/>
      <c r="I64" s="2" t="s">
        <v>10</v>
      </c>
      <c r="J64" s="2" t="s">
        <v>80</v>
      </c>
    </row>
    <row r="65" spans="1:10" x14ac:dyDescent="0.3">
      <c r="A65" s="2">
        <v>64</v>
      </c>
      <c r="B65" s="2">
        <v>3</v>
      </c>
      <c r="C65" s="2">
        <v>8</v>
      </c>
      <c r="D65" s="2">
        <v>5</v>
      </c>
      <c r="E65" s="3">
        <v>45874</v>
      </c>
      <c r="F65" s="3">
        <v>45879</v>
      </c>
      <c r="G65" s="3">
        <v>45876</v>
      </c>
      <c r="H65" s="2"/>
      <c r="I65" s="2" t="s">
        <v>10</v>
      </c>
      <c r="J65" s="2" t="s">
        <v>81</v>
      </c>
    </row>
    <row r="66" spans="1:10" x14ac:dyDescent="0.3">
      <c r="A66" s="2">
        <v>65</v>
      </c>
      <c r="B66" s="2">
        <v>9</v>
      </c>
      <c r="C66" s="2">
        <v>10</v>
      </c>
      <c r="D66" s="2">
        <v>5</v>
      </c>
      <c r="E66" s="3">
        <v>46008</v>
      </c>
      <c r="F66" s="3">
        <v>46012</v>
      </c>
      <c r="G66" s="3">
        <v>46012</v>
      </c>
      <c r="H66" s="2"/>
      <c r="I66" s="2" t="s">
        <v>10</v>
      </c>
      <c r="J66" s="2" t="s">
        <v>82</v>
      </c>
    </row>
    <row r="67" spans="1:10" x14ac:dyDescent="0.3">
      <c r="A67" s="2">
        <v>66</v>
      </c>
      <c r="B67" s="2">
        <v>7</v>
      </c>
      <c r="C67" s="2">
        <v>2</v>
      </c>
      <c r="D67" s="2">
        <v>2</v>
      </c>
      <c r="E67" s="3">
        <v>45989</v>
      </c>
      <c r="F67" s="3">
        <v>45994</v>
      </c>
      <c r="G67" s="3">
        <v>45994</v>
      </c>
      <c r="H67" s="2"/>
      <c r="I67" s="2" t="s">
        <v>10</v>
      </c>
      <c r="J67" s="2" t="s">
        <v>83</v>
      </c>
    </row>
    <row r="68" spans="1:10" x14ac:dyDescent="0.3">
      <c r="A68" s="2">
        <v>67</v>
      </c>
      <c r="B68" s="2">
        <v>1</v>
      </c>
      <c r="C68" s="2">
        <v>8</v>
      </c>
      <c r="D68" s="2">
        <v>4</v>
      </c>
      <c r="E68" s="3">
        <v>45927</v>
      </c>
      <c r="F68" s="3">
        <v>45932</v>
      </c>
      <c r="G68" s="3">
        <v>45931</v>
      </c>
      <c r="H68" s="2"/>
      <c r="I68" s="2" t="s">
        <v>10</v>
      </c>
      <c r="J68" s="2" t="s">
        <v>84</v>
      </c>
    </row>
    <row r="69" spans="1:10" x14ac:dyDescent="0.3">
      <c r="A69" s="2">
        <v>68</v>
      </c>
      <c r="B69" s="2">
        <v>9</v>
      </c>
      <c r="C69" s="2">
        <v>6</v>
      </c>
      <c r="D69" s="2">
        <v>3</v>
      </c>
      <c r="E69" s="3">
        <v>45851</v>
      </c>
      <c r="F69" s="3">
        <v>45854</v>
      </c>
      <c r="G69" s="3">
        <v>45853</v>
      </c>
      <c r="H69" s="2"/>
      <c r="I69" s="2" t="s">
        <v>10</v>
      </c>
      <c r="J69" s="2" t="s">
        <v>85</v>
      </c>
    </row>
    <row r="70" spans="1:10" x14ac:dyDescent="0.3">
      <c r="A70" s="2">
        <v>69</v>
      </c>
      <c r="B70" s="2">
        <v>1</v>
      </c>
      <c r="C70" s="2">
        <v>5</v>
      </c>
      <c r="D70" s="2">
        <v>4</v>
      </c>
      <c r="E70" s="3">
        <v>45917</v>
      </c>
      <c r="F70" s="3">
        <v>45922</v>
      </c>
      <c r="G70" s="3">
        <v>45920</v>
      </c>
      <c r="H70" s="2"/>
      <c r="I70" s="2" t="s">
        <v>10</v>
      </c>
      <c r="J70" s="2" t="s">
        <v>86</v>
      </c>
    </row>
    <row r="71" spans="1:10" x14ac:dyDescent="0.3">
      <c r="A71" s="2">
        <v>70</v>
      </c>
      <c r="B71" s="2">
        <v>9</v>
      </c>
      <c r="C71" s="2">
        <v>4</v>
      </c>
      <c r="D71" s="2">
        <v>3</v>
      </c>
      <c r="E71" s="3">
        <v>45962</v>
      </c>
      <c r="F71" s="3">
        <v>45967</v>
      </c>
      <c r="G71" s="3">
        <v>45965</v>
      </c>
      <c r="H71" s="2"/>
      <c r="I71" s="2" t="s">
        <v>10</v>
      </c>
      <c r="J71" s="2" t="s">
        <v>87</v>
      </c>
    </row>
    <row r="72" spans="1:10" x14ac:dyDescent="0.3">
      <c r="A72" s="2">
        <v>71</v>
      </c>
      <c r="B72" s="2">
        <v>2</v>
      </c>
      <c r="C72" s="2">
        <v>1</v>
      </c>
      <c r="D72" s="2">
        <v>3</v>
      </c>
      <c r="E72" s="3">
        <v>45840</v>
      </c>
      <c r="F72" s="3">
        <v>45845</v>
      </c>
      <c r="G72" s="3">
        <v>45845</v>
      </c>
      <c r="H72" s="2"/>
      <c r="I72" s="2" t="s">
        <v>10</v>
      </c>
      <c r="J72" s="2" t="s">
        <v>88</v>
      </c>
    </row>
    <row r="73" spans="1:10" x14ac:dyDescent="0.3">
      <c r="A73" s="2">
        <v>72</v>
      </c>
      <c r="B73" s="2">
        <v>4</v>
      </c>
      <c r="C73" s="2">
        <v>6</v>
      </c>
      <c r="D73" s="2">
        <v>5</v>
      </c>
      <c r="E73" s="3">
        <v>45862</v>
      </c>
      <c r="F73" s="3">
        <v>45865</v>
      </c>
      <c r="G73" s="3">
        <v>45865</v>
      </c>
      <c r="H73" s="2"/>
      <c r="I73" s="2" t="s">
        <v>10</v>
      </c>
      <c r="J73" s="2" t="s">
        <v>89</v>
      </c>
    </row>
    <row r="74" spans="1:10" x14ac:dyDescent="0.3">
      <c r="A74" s="2">
        <v>73</v>
      </c>
      <c r="B74" s="2">
        <v>2</v>
      </c>
      <c r="C74" s="2">
        <v>10</v>
      </c>
      <c r="D74" s="2">
        <v>2</v>
      </c>
      <c r="E74" s="3">
        <v>45922</v>
      </c>
      <c r="F74" s="3">
        <v>45925</v>
      </c>
      <c r="G74" s="3">
        <v>45925</v>
      </c>
      <c r="H74" s="2"/>
      <c r="I74" s="2" t="s">
        <v>10</v>
      </c>
      <c r="J74" s="2" t="s">
        <v>90</v>
      </c>
    </row>
    <row r="75" spans="1:10" x14ac:dyDescent="0.3">
      <c r="A75" s="2">
        <v>74</v>
      </c>
      <c r="B75" s="2">
        <v>7</v>
      </c>
      <c r="C75" s="2">
        <v>1</v>
      </c>
      <c r="D75" s="2">
        <v>2</v>
      </c>
      <c r="E75" s="3">
        <v>45886</v>
      </c>
      <c r="F75" s="3">
        <v>45891</v>
      </c>
      <c r="G75" s="3">
        <v>45888</v>
      </c>
      <c r="H75" s="2"/>
      <c r="I75" s="2" t="s">
        <v>10</v>
      </c>
      <c r="J75" s="2" t="s">
        <v>91</v>
      </c>
    </row>
    <row r="76" spans="1:10" x14ac:dyDescent="0.3">
      <c r="A76" s="2">
        <v>75</v>
      </c>
      <c r="B76" s="2">
        <v>9</v>
      </c>
      <c r="C76" s="2">
        <v>9</v>
      </c>
      <c r="D76" s="2">
        <v>3</v>
      </c>
      <c r="E76" s="3">
        <v>46004</v>
      </c>
      <c r="F76" s="3">
        <v>46007</v>
      </c>
      <c r="G76" s="3">
        <v>46007</v>
      </c>
      <c r="H76" s="2"/>
      <c r="I76" s="2" t="s">
        <v>10</v>
      </c>
      <c r="J76" s="2" t="s">
        <v>92</v>
      </c>
    </row>
    <row r="77" spans="1:10" x14ac:dyDescent="0.3">
      <c r="A77" s="2">
        <v>76</v>
      </c>
      <c r="B77" s="2">
        <v>6</v>
      </c>
      <c r="C77" s="2">
        <v>5</v>
      </c>
      <c r="D77" s="2">
        <v>4</v>
      </c>
      <c r="E77" s="3">
        <v>45873</v>
      </c>
      <c r="F77" s="3">
        <v>45876</v>
      </c>
      <c r="G77" s="3">
        <v>45873</v>
      </c>
      <c r="H77" s="2"/>
      <c r="I77" s="2" t="s">
        <v>10</v>
      </c>
      <c r="J77" s="2" t="s">
        <v>93</v>
      </c>
    </row>
    <row r="78" spans="1:10" x14ac:dyDescent="0.3">
      <c r="A78" s="2">
        <v>77</v>
      </c>
      <c r="B78" s="2">
        <v>1</v>
      </c>
      <c r="C78" s="2">
        <v>4</v>
      </c>
      <c r="D78" s="2">
        <v>3</v>
      </c>
      <c r="E78" s="3">
        <v>45964</v>
      </c>
      <c r="F78" s="3">
        <v>45969</v>
      </c>
      <c r="G78" s="3">
        <v>45966</v>
      </c>
      <c r="H78" s="2"/>
      <c r="I78" s="2" t="s">
        <v>10</v>
      </c>
      <c r="J78" s="2" t="s">
        <v>94</v>
      </c>
    </row>
    <row r="79" spans="1:10" x14ac:dyDescent="0.3">
      <c r="A79" s="2">
        <v>78</v>
      </c>
      <c r="B79" s="2">
        <v>3</v>
      </c>
      <c r="C79" s="2">
        <v>8</v>
      </c>
      <c r="D79" s="2">
        <v>4</v>
      </c>
      <c r="E79" s="3">
        <v>45922</v>
      </c>
      <c r="F79" s="3">
        <v>45927</v>
      </c>
      <c r="G79" s="3">
        <v>45926</v>
      </c>
      <c r="H79" s="2"/>
      <c r="I79" s="2" t="s">
        <v>10</v>
      </c>
      <c r="J79" s="2" t="s">
        <v>95</v>
      </c>
    </row>
    <row r="80" spans="1:10" x14ac:dyDescent="0.3">
      <c r="A80" s="2">
        <v>79</v>
      </c>
      <c r="B80" s="2">
        <v>10</v>
      </c>
      <c r="C80" s="2">
        <v>4</v>
      </c>
      <c r="D80" s="2">
        <v>5</v>
      </c>
      <c r="E80" s="3">
        <v>45939</v>
      </c>
      <c r="F80" s="3">
        <v>45942</v>
      </c>
      <c r="G80" s="3">
        <v>45939</v>
      </c>
      <c r="H80" s="2"/>
      <c r="I80" s="2" t="s">
        <v>10</v>
      </c>
      <c r="J80" s="2" t="s">
        <v>96</v>
      </c>
    </row>
    <row r="81" spans="1:10" x14ac:dyDescent="0.3">
      <c r="A81" s="2">
        <v>80</v>
      </c>
      <c r="B81" s="2">
        <v>10</v>
      </c>
      <c r="C81" s="2">
        <v>2</v>
      </c>
      <c r="D81" s="2">
        <v>2</v>
      </c>
      <c r="E81" s="3">
        <v>45995</v>
      </c>
      <c r="F81" s="3">
        <v>45998</v>
      </c>
      <c r="G81" s="3">
        <v>45998</v>
      </c>
      <c r="H81" s="2"/>
      <c r="I81" s="2" t="s">
        <v>10</v>
      </c>
      <c r="J81" s="2" t="s">
        <v>97</v>
      </c>
    </row>
    <row r="82" spans="1:10" x14ac:dyDescent="0.3">
      <c r="A82" s="2">
        <v>81</v>
      </c>
      <c r="B82" s="2">
        <v>6</v>
      </c>
      <c r="C82" s="2">
        <v>7</v>
      </c>
      <c r="D82" s="2">
        <v>2</v>
      </c>
      <c r="E82" s="3">
        <v>45930</v>
      </c>
      <c r="F82" s="3">
        <v>45933</v>
      </c>
      <c r="G82" s="3">
        <v>45930</v>
      </c>
      <c r="H82" s="2"/>
      <c r="I82" s="2" t="s">
        <v>10</v>
      </c>
      <c r="J82" s="2" t="s">
        <v>98</v>
      </c>
    </row>
    <row r="83" spans="1:10" x14ac:dyDescent="0.3">
      <c r="A83" s="2">
        <v>82</v>
      </c>
      <c r="B83" s="2">
        <v>4</v>
      </c>
      <c r="C83" s="2">
        <v>10</v>
      </c>
      <c r="D83" s="2">
        <v>1</v>
      </c>
      <c r="E83" s="3">
        <v>45857</v>
      </c>
      <c r="F83" s="3">
        <v>45861</v>
      </c>
      <c r="G83" s="3">
        <v>45860</v>
      </c>
      <c r="H83" s="2"/>
      <c r="I83" s="2" t="s">
        <v>10</v>
      </c>
      <c r="J83" s="2" t="s">
        <v>99</v>
      </c>
    </row>
    <row r="84" spans="1:10" x14ac:dyDescent="0.3">
      <c r="A84" s="2">
        <v>83</v>
      </c>
      <c r="B84" s="2">
        <v>8</v>
      </c>
      <c r="C84" s="2">
        <v>1</v>
      </c>
      <c r="D84" s="2">
        <v>5</v>
      </c>
      <c r="E84" s="3">
        <v>45885</v>
      </c>
      <c r="F84" s="3">
        <v>45889</v>
      </c>
      <c r="G84" s="3">
        <v>45887</v>
      </c>
      <c r="H84" s="2"/>
      <c r="I84" s="2" t="s">
        <v>10</v>
      </c>
      <c r="J84" s="2" t="s">
        <v>100</v>
      </c>
    </row>
    <row r="85" spans="1:10" x14ac:dyDescent="0.3">
      <c r="A85" s="2">
        <v>84</v>
      </c>
      <c r="B85" s="2">
        <v>2</v>
      </c>
      <c r="C85" s="2">
        <v>3</v>
      </c>
      <c r="D85" s="2">
        <v>4</v>
      </c>
      <c r="E85" s="3">
        <v>45911</v>
      </c>
      <c r="F85" s="3">
        <v>45915</v>
      </c>
      <c r="G85" s="3">
        <v>45915</v>
      </c>
      <c r="H85" s="2"/>
      <c r="I85" s="2" t="s">
        <v>10</v>
      </c>
      <c r="J85" s="2" t="s">
        <v>101</v>
      </c>
    </row>
    <row r="86" spans="1:10" x14ac:dyDescent="0.3">
      <c r="A86" s="2">
        <v>85</v>
      </c>
      <c r="B86" s="2">
        <v>9</v>
      </c>
      <c r="C86" s="2">
        <v>8</v>
      </c>
      <c r="D86" s="2">
        <v>4</v>
      </c>
      <c r="E86" s="3">
        <v>45843</v>
      </c>
      <c r="F86" s="3">
        <v>45848</v>
      </c>
      <c r="G86" s="3">
        <v>45846</v>
      </c>
      <c r="H86" s="2"/>
      <c r="I86" s="2" t="s">
        <v>10</v>
      </c>
      <c r="J86" s="2" t="s">
        <v>102</v>
      </c>
    </row>
    <row r="87" spans="1:10" x14ac:dyDescent="0.3">
      <c r="A87" s="2">
        <v>86</v>
      </c>
      <c r="B87" s="2">
        <v>6</v>
      </c>
      <c r="C87" s="2">
        <v>10</v>
      </c>
      <c r="D87" s="2">
        <v>4</v>
      </c>
      <c r="E87" s="3">
        <v>45912</v>
      </c>
      <c r="F87" s="3">
        <v>45916</v>
      </c>
      <c r="G87" s="3">
        <v>45913</v>
      </c>
      <c r="H87" s="2"/>
      <c r="I87" s="2" t="s">
        <v>10</v>
      </c>
      <c r="J87" s="2" t="s">
        <v>103</v>
      </c>
    </row>
    <row r="88" spans="1:10" x14ac:dyDescent="0.3">
      <c r="A88" s="2">
        <v>87</v>
      </c>
      <c r="B88" s="2">
        <v>10</v>
      </c>
      <c r="C88" s="2">
        <v>7</v>
      </c>
      <c r="D88" s="2">
        <v>4</v>
      </c>
      <c r="E88" s="3">
        <v>45932</v>
      </c>
      <c r="F88" s="3">
        <v>45936</v>
      </c>
      <c r="G88" s="3">
        <v>45934</v>
      </c>
      <c r="H88" s="2"/>
      <c r="I88" s="2" t="s">
        <v>10</v>
      </c>
      <c r="J88" s="2" t="s">
        <v>104</v>
      </c>
    </row>
    <row r="89" spans="1:10" x14ac:dyDescent="0.3">
      <c r="A89" s="2">
        <v>88</v>
      </c>
      <c r="B89" s="2">
        <v>9</v>
      </c>
      <c r="C89" s="2">
        <v>1</v>
      </c>
      <c r="D89" s="2">
        <v>5</v>
      </c>
      <c r="E89" s="3">
        <v>45892</v>
      </c>
      <c r="F89" s="3">
        <v>45896</v>
      </c>
      <c r="G89" s="3">
        <v>45895</v>
      </c>
      <c r="H89" s="2"/>
      <c r="I89" s="2" t="s">
        <v>10</v>
      </c>
      <c r="J89" s="2" t="s">
        <v>105</v>
      </c>
    </row>
    <row r="90" spans="1:10" x14ac:dyDescent="0.3">
      <c r="A90" s="2">
        <v>89</v>
      </c>
      <c r="B90" s="2">
        <v>2</v>
      </c>
      <c r="C90" s="2">
        <v>1</v>
      </c>
      <c r="D90" s="2">
        <v>5</v>
      </c>
      <c r="E90" s="3">
        <v>45947</v>
      </c>
      <c r="F90" s="3">
        <v>45950</v>
      </c>
      <c r="G90" s="3">
        <v>45950</v>
      </c>
      <c r="H90" s="2"/>
      <c r="I90" s="2" t="s">
        <v>10</v>
      </c>
      <c r="J90" s="2" t="s">
        <v>106</v>
      </c>
    </row>
    <row r="91" spans="1:10" x14ac:dyDescent="0.3">
      <c r="A91" s="2">
        <v>90</v>
      </c>
      <c r="B91" s="2">
        <v>7</v>
      </c>
      <c r="C91" s="2">
        <v>1</v>
      </c>
      <c r="D91" s="2">
        <v>2</v>
      </c>
      <c r="E91" s="3">
        <v>45925</v>
      </c>
      <c r="F91" s="3">
        <v>45928</v>
      </c>
      <c r="G91" s="3">
        <v>45926</v>
      </c>
      <c r="H91" s="2"/>
      <c r="I91" s="2" t="s">
        <v>10</v>
      </c>
      <c r="J91" s="2" t="s">
        <v>107</v>
      </c>
    </row>
    <row r="92" spans="1:10" x14ac:dyDescent="0.3">
      <c r="A92" s="2">
        <v>91</v>
      </c>
      <c r="B92" s="2">
        <v>8</v>
      </c>
      <c r="C92" s="2">
        <v>9</v>
      </c>
      <c r="D92" s="2">
        <v>3</v>
      </c>
      <c r="E92" s="3">
        <v>45869</v>
      </c>
      <c r="F92" s="3">
        <v>45873</v>
      </c>
      <c r="G92" s="3">
        <v>45872</v>
      </c>
      <c r="H92" s="2"/>
      <c r="I92" s="2" t="s">
        <v>10</v>
      </c>
      <c r="J92" s="2" t="s">
        <v>108</v>
      </c>
    </row>
    <row r="93" spans="1:10" x14ac:dyDescent="0.3">
      <c r="A93" s="2">
        <v>92</v>
      </c>
      <c r="B93" s="2">
        <v>6</v>
      </c>
      <c r="C93" s="2">
        <v>7</v>
      </c>
      <c r="D93" s="2">
        <v>3</v>
      </c>
      <c r="E93" s="3">
        <v>45960</v>
      </c>
      <c r="F93" s="3">
        <v>45965</v>
      </c>
      <c r="G93" s="3">
        <v>45965</v>
      </c>
      <c r="H93" s="2"/>
      <c r="I93" s="2" t="s">
        <v>10</v>
      </c>
      <c r="J93" s="2" t="s">
        <v>109</v>
      </c>
    </row>
    <row r="94" spans="1:10" x14ac:dyDescent="0.3">
      <c r="A94" s="2">
        <v>93</v>
      </c>
      <c r="B94" s="2">
        <v>3</v>
      </c>
      <c r="C94" s="2">
        <v>3</v>
      </c>
      <c r="D94" s="2">
        <v>4</v>
      </c>
      <c r="E94" s="3">
        <v>45887</v>
      </c>
      <c r="F94" s="3">
        <v>45892</v>
      </c>
      <c r="G94" s="3">
        <v>45890</v>
      </c>
      <c r="H94" s="2"/>
      <c r="I94" s="2" t="s">
        <v>10</v>
      </c>
      <c r="J94" s="2" t="s">
        <v>110</v>
      </c>
    </row>
    <row r="95" spans="1:10" x14ac:dyDescent="0.3">
      <c r="A95" s="2">
        <v>94</v>
      </c>
      <c r="B95" s="2">
        <v>6</v>
      </c>
      <c r="C95" s="2">
        <v>8</v>
      </c>
      <c r="D95" s="2">
        <v>5</v>
      </c>
      <c r="E95" s="3">
        <v>45890</v>
      </c>
      <c r="F95" s="3">
        <v>45894</v>
      </c>
      <c r="G95" s="3">
        <v>45892</v>
      </c>
      <c r="H95" s="2"/>
      <c r="I95" s="2" t="s">
        <v>10</v>
      </c>
      <c r="J95" s="2" t="s">
        <v>111</v>
      </c>
    </row>
    <row r="96" spans="1:10" x14ac:dyDescent="0.3">
      <c r="A96" s="2">
        <v>95</v>
      </c>
      <c r="B96" s="2">
        <v>10</v>
      </c>
      <c r="C96" s="2">
        <v>8</v>
      </c>
      <c r="D96" s="2">
        <v>2</v>
      </c>
      <c r="E96" s="3">
        <v>46010</v>
      </c>
      <c r="F96" s="3">
        <v>46014</v>
      </c>
      <c r="G96" s="3">
        <v>46014</v>
      </c>
      <c r="H96" s="2"/>
      <c r="I96" s="2" t="s">
        <v>10</v>
      </c>
      <c r="J96" s="2" t="s">
        <v>112</v>
      </c>
    </row>
    <row r="97" spans="1:10" x14ac:dyDescent="0.3">
      <c r="A97" s="2">
        <v>96</v>
      </c>
      <c r="B97" s="2">
        <v>8</v>
      </c>
      <c r="C97" s="2">
        <v>3</v>
      </c>
      <c r="D97" s="2">
        <v>5</v>
      </c>
      <c r="E97" s="3">
        <v>45847</v>
      </c>
      <c r="F97" s="3">
        <v>45852</v>
      </c>
      <c r="G97" s="3">
        <v>45851</v>
      </c>
      <c r="H97" s="2"/>
      <c r="I97" s="2" t="s">
        <v>10</v>
      </c>
      <c r="J97" s="2" t="s">
        <v>113</v>
      </c>
    </row>
    <row r="98" spans="1:10" x14ac:dyDescent="0.3">
      <c r="A98" s="2">
        <v>97</v>
      </c>
      <c r="B98" s="2">
        <v>3</v>
      </c>
      <c r="C98" s="2">
        <v>7</v>
      </c>
      <c r="D98" s="2">
        <v>3</v>
      </c>
      <c r="E98" s="3">
        <v>45997</v>
      </c>
      <c r="F98" s="3">
        <v>46002</v>
      </c>
      <c r="G98" s="3">
        <v>46001</v>
      </c>
      <c r="H98" s="2"/>
      <c r="I98" s="2" t="s">
        <v>10</v>
      </c>
      <c r="J98" s="2" t="s">
        <v>114</v>
      </c>
    </row>
    <row r="99" spans="1:10" x14ac:dyDescent="0.3">
      <c r="A99" s="2">
        <v>98</v>
      </c>
      <c r="B99" s="2">
        <v>8</v>
      </c>
      <c r="C99" s="2">
        <v>3</v>
      </c>
      <c r="D99" s="2">
        <v>3</v>
      </c>
      <c r="E99" s="3">
        <v>46014</v>
      </c>
      <c r="F99" s="3">
        <v>46018</v>
      </c>
      <c r="G99" s="3">
        <v>46017</v>
      </c>
      <c r="H99" s="2"/>
      <c r="I99" s="2" t="s">
        <v>10</v>
      </c>
      <c r="J99" s="2" t="s">
        <v>115</v>
      </c>
    </row>
    <row r="100" spans="1:10" x14ac:dyDescent="0.3">
      <c r="A100" s="2">
        <v>99</v>
      </c>
      <c r="B100" s="2">
        <v>10</v>
      </c>
      <c r="C100" s="2">
        <v>7</v>
      </c>
      <c r="D100" s="2">
        <v>2</v>
      </c>
      <c r="E100" s="3">
        <v>45922</v>
      </c>
      <c r="F100" s="3">
        <v>45925</v>
      </c>
      <c r="G100" s="3">
        <v>45923</v>
      </c>
      <c r="H100" s="2"/>
      <c r="I100" s="2" t="s">
        <v>10</v>
      </c>
      <c r="J100" s="2" t="s">
        <v>116</v>
      </c>
    </row>
    <row r="101" spans="1:10" x14ac:dyDescent="0.3">
      <c r="A101" s="2">
        <v>100</v>
      </c>
      <c r="B101" s="2">
        <v>4</v>
      </c>
      <c r="C101" s="2">
        <v>8</v>
      </c>
      <c r="D101" s="2">
        <v>3</v>
      </c>
      <c r="E101" s="3">
        <v>45973</v>
      </c>
      <c r="F101" s="3">
        <v>45976</v>
      </c>
      <c r="G101" s="3">
        <v>45974</v>
      </c>
      <c r="H101" s="2"/>
      <c r="I101" s="2" t="s">
        <v>10</v>
      </c>
      <c r="J101" s="2" t="s">
        <v>117</v>
      </c>
    </row>
    <row r="102" spans="1:10" x14ac:dyDescent="0.3">
      <c r="A102" s="2">
        <v>101</v>
      </c>
      <c r="B102" s="2">
        <v>8</v>
      </c>
      <c r="C102" s="2">
        <v>10</v>
      </c>
      <c r="D102" s="2">
        <v>3</v>
      </c>
      <c r="E102" s="3">
        <v>46011</v>
      </c>
      <c r="F102" s="3">
        <v>46014</v>
      </c>
      <c r="G102" s="3">
        <v>46012</v>
      </c>
      <c r="H102" s="2"/>
      <c r="I102" s="2" t="s">
        <v>10</v>
      </c>
      <c r="J102" s="2" t="s">
        <v>118</v>
      </c>
    </row>
    <row r="103" spans="1:10" x14ac:dyDescent="0.3">
      <c r="A103" s="2">
        <v>102</v>
      </c>
      <c r="B103" s="2">
        <v>10</v>
      </c>
      <c r="C103" s="2">
        <v>2</v>
      </c>
      <c r="D103" s="2">
        <v>2</v>
      </c>
      <c r="E103" s="3">
        <v>45847</v>
      </c>
      <c r="F103" s="3">
        <v>45850</v>
      </c>
      <c r="G103" s="3">
        <v>45848</v>
      </c>
      <c r="H103" s="2"/>
      <c r="I103" s="2" t="s">
        <v>10</v>
      </c>
      <c r="J103" s="2" t="s">
        <v>119</v>
      </c>
    </row>
    <row r="104" spans="1:10" x14ac:dyDescent="0.3">
      <c r="A104" s="2">
        <v>103</v>
      </c>
      <c r="B104" s="2">
        <v>8</v>
      </c>
      <c r="C104" s="2">
        <v>8</v>
      </c>
      <c r="D104" s="2">
        <v>2</v>
      </c>
      <c r="E104" s="3">
        <v>45923</v>
      </c>
      <c r="F104" s="3">
        <v>45927</v>
      </c>
      <c r="G104" s="3">
        <v>45927</v>
      </c>
      <c r="H104" s="2"/>
      <c r="I104" s="2" t="s">
        <v>10</v>
      </c>
      <c r="J104" s="2" t="s">
        <v>120</v>
      </c>
    </row>
    <row r="105" spans="1:10" x14ac:dyDescent="0.3">
      <c r="A105" s="2">
        <v>104</v>
      </c>
      <c r="B105" s="2">
        <v>8</v>
      </c>
      <c r="C105" s="2">
        <v>3</v>
      </c>
      <c r="D105" s="2">
        <v>3</v>
      </c>
      <c r="E105" s="3">
        <v>45970</v>
      </c>
      <c r="F105" s="3">
        <v>45975</v>
      </c>
      <c r="G105" s="3">
        <v>45972</v>
      </c>
      <c r="H105" s="2"/>
      <c r="I105" s="2" t="s">
        <v>10</v>
      </c>
      <c r="J105" s="2" t="s">
        <v>121</v>
      </c>
    </row>
    <row r="106" spans="1:10" x14ac:dyDescent="0.3">
      <c r="A106" s="2">
        <v>105</v>
      </c>
      <c r="B106" s="2">
        <v>6</v>
      </c>
      <c r="C106" s="2">
        <v>1</v>
      </c>
      <c r="D106" s="2">
        <v>1</v>
      </c>
      <c r="E106" s="3">
        <v>45910</v>
      </c>
      <c r="F106" s="3">
        <v>45914</v>
      </c>
      <c r="G106" s="3">
        <v>45912</v>
      </c>
      <c r="H106" s="2"/>
      <c r="I106" s="2" t="s">
        <v>10</v>
      </c>
      <c r="J106" s="2" t="s">
        <v>122</v>
      </c>
    </row>
    <row r="107" spans="1:10" x14ac:dyDescent="0.3">
      <c r="A107" s="2">
        <v>106</v>
      </c>
      <c r="B107" s="2">
        <v>3</v>
      </c>
      <c r="C107" s="2">
        <v>6</v>
      </c>
      <c r="D107" s="2">
        <v>1</v>
      </c>
      <c r="E107" s="3">
        <v>46015</v>
      </c>
      <c r="F107" s="3">
        <v>46019</v>
      </c>
      <c r="G107" s="3">
        <v>46016</v>
      </c>
      <c r="H107" s="2"/>
      <c r="I107" s="2" t="s">
        <v>10</v>
      </c>
      <c r="J107" s="2" t="s">
        <v>123</v>
      </c>
    </row>
    <row r="108" spans="1:10" x14ac:dyDescent="0.3">
      <c r="A108" s="2">
        <v>107</v>
      </c>
      <c r="B108" s="2">
        <v>4</v>
      </c>
      <c r="C108" s="2">
        <v>7</v>
      </c>
      <c r="D108" s="2">
        <v>3</v>
      </c>
      <c r="E108" s="3">
        <v>45873</v>
      </c>
      <c r="F108" s="3">
        <v>45876</v>
      </c>
      <c r="G108" s="3">
        <v>45876</v>
      </c>
      <c r="H108" s="2"/>
      <c r="I108" s="2" t="s">
        <v>10</v>
      </c>
      <c r="J108" s="2" t="s">
        <v>124</v>
      </c>
    </row>
    <row r="109" spans="1:10" x14ac:dyDescent="0.3">
      <c r="A109" s="2">
        <v>108</v>
      </c>
      <c r="B109" s="2">
        <v>3</v>
      </c>
      <c r="C109" s="2">
        <v>7</v>
      </c>
      <c r="D109" s="2">
        <v>2</v>
      </c>
      <c r="E109" s="3">
        <v>45869</v>
      </c>
      <c r="F109" s="3">
        <v>45872</v>
      </c>
      <c r="G109" s="3">
        <v>45870</v>
      </c>
      <c r="H109" s="2"/>
      <c r="I109" s="2" t="s">
        <v>10</v>
      </c>
      <c r="J109" s="2" t="s">
        <v>125</v>
      </c>
    </row>
    <row r="110" spans="1:10" x14ac:dyDescent="0.3">
      <c r="A110" s="2">
        <v>109</v>
      </c>
      <c r="B110" s="2">
        <v>2</v>
      </c>
      <c r="C110" s="2">
        <v>2</v>
      </c>
      <c r="D110" s="2">
        <v>5</v>
      </c>
      <c r="E110" s="3">
        <v>45852</v>
      </c>
      <c r="F110" s="3">
        <v>45856</v>
      </c>
      <c r="G110" s="3">
        <v>45855</v>
      </c>
      <c r="H110" s="2"/>
      <c r="I110" s="2" t="s">
        <v>10</v>
      </c>
      <c r="J110" s="2" t="s">
        <v>126</v>
      </c>
    </row>
    <row r="111" spans="1:10" x14ac:dyDescent="0.3">
      <c r="A111" s="2">
        <v>110</v>
      </c>
      <c r="B111" s="2">
        <v>3</v>
      </c>
      <c r="C111" s="2">
        <v>2</v>
      </c>
      <c r="D111" s="2">
        <v>2</v>
      </c>
      <c r="E111" s="3">
        <v>45927</v>
      </c>
      <c r="F111" s="3">
        <v>45931</v>
      </c>
      <c r="G111" s="3">
        <v>45930</v>
      </c>
      <c r="H111" s="2"/>
      <c r="I111" s="2" t="s">
        <v>10</v>
      </c>
      <c r="J111" s="2" t="s">
        <v>127</v>
      </c>
    </row>
    <row r="112" spans="1:10" x14ac:dyDescent="0.3">
      <c r="A112" s="2">
        <v>111</v>
      </c>
      <c r="B112" s="2">
        <v>5</v>
      </c>
      <c r="C112" s="2">
        <v>1</v>
      </c>
      <c r="D112" s="2">
        <v>5</v>
      </c>
      <c r="E112" s="3">
        <v>45974</v>
      </c>
      <c r="F112" s="3">
        <v>45977</v>
      </c>
      <c r="G112" s="3">
        <v>45977</v>
      </c>
      <c r="H112" s="2"/>
      <c r="I112" s="2" t="s">
        <v>10</v>
      </c>
      <c r="J112" s="2" t="s">
        <v>128</v>
      </c>
    </row>
    <row r="113" spans="1:10" x14ac:dyDescent="0.3">
      <c r="A113" s="2">
        <v>112</v>
      </c>
      <c r="B113" s="2">
        <v>10</v>
      </c>
      <c r="C113" s="2">
        <v>5</v>
      </c>
      <c r="D113" s="2">
        <v>5</v>
      </c>
      <c r="E113" s="3">
        <v>45931</v>
      </c>
      <c r="F113" s="3">
        <v>45936</v>
      </c>
      <c r="G113" s="3">
        <v>45935</v>
      </c>
      <c r="H113" s="2"/>
      <c r="I113" s="2" t="s">
        <v>10</v>
      </c>
      <c r="J113" s="2" t="s">
        <v>129</v>
      </c>
    </row>
    <row r="114" spans="1:10" x14ac:dyDescent="0.3">
      <c r="A114" s="2">
        <v>113</v>
      </c>
      <c r="B114" s="2">
        <v>5</v>
      </c>
      <c r="C114" s="2">
        <v>9</v>
      </c>
      <c r="D114" s="2">
        <v>5</v>
      </c>
      <c r="E114" s="3">
        <v>45967</v>
      </c>
      <c r="F114" s="3">
        <v>45972</v>
      </c>
      <c r="G114" s="3">
        <v>45972</v>
      </c>
      <c r="H114" s="2"/>
      <c r="I114" s="2" t="s">
        <v>10</v>
      </c>
      <c r="J114" s="2" t="s">
        <v>130</v>
      </c>
    </row>
    <row r="115" spans="1:10" x14ac:dyDescent="0.3">
      <c r="A115" s="2">
        <v>114</v>
      </c>
      <c r="B115" s="2">
        <v>6</v>
      </c>
      <c r="C115" s="2">
        <v>1</v>
      </c>
      <c r="D115" s="2">
        <v>1</v>
      </c>
      <c r="E115" s="3">
        <v>45903</v>
      </c>
      <c r="F115" s="3">
        <v>45907</v>
      </c>
      <c r="G115" s="3">
        <v>45904</v>
      </c>
      <c r="H115" s="2"/>
      <c r="I115" s="2" t="s">
        <v>10</v>
      </c>
      <c r="J115" s="2" t="s">
        <v>131</v>
      </c>
    </row>
    <row r="116" spans="1:10" x14ac:dyDescent="0.3">
      <c r="A116" s="2">
        <v>115</v>
      </c>
      <c r="B116" s="2">
        <v>8</v>
      </c>
      <c r="C116" s="2">
        <v>4</v>
      </c>
      <c r="D116" s="2">
        <v>4</v>
      </c>
      <c r="E116" s="3">
        <v>46019</v>
      </c>
      <c r="F116" s="3">
        <v>46022</v>
      </c>
      <c r="G116" s="3">
        <v>46021</v>
      </c>
      <c r="H116" s="2"/>
      <c r="I116" s="2" t="s">
        <v>10</v>
      </c>
      <c r="J116" s="2" t="s">
        <v>132</v>
      </c>
    </row>
    <row r="117" spans="1:10" x14ac:dyDescent="0.3">
      <c r="A117" s="2">
        <v>116</v>
      </c>
      <c r="B117" s="2">
        <v>4</v>
      </c>
      <c r="C117" s="2">
        <v>5</v>
      </c>
      <c r="D117" s="2">
        <v>2</v>
      </c>
      <c r="E117" s="3">
        <v>45966</v>
      </c>
      <c r="F117" s="3">
        <v>45969</v>
      </c>
      <c r="G117" s="3">
        <v>45968</v>
      </c>
      <c r="H117" s="2"/>
      <c r="I117" s="2" t="s">
        <v>10</v>
      </c>
      <c r="J117" s="2" t="s">
        <v>133</v>
      </c>
    </row>
    <row r="118" spans="1:10" x14ac:dyDescent="0.3">
      <c r="A118" s="2">
        <v>117</v>
      </c>
      <c r="B118" s="2">
        <v>3</v>
      </c>
      <c r="C118" s="2">
        <v>5</v>
      </c>
      <c r="D118" s="2">
        <v>4</v>
      </c>
      <c r="E118" s="3">
        <v>45866</v>
      </c>
      <c r="F118" s="3">
        <v>45870</v>
      </c>
      <c r="G118" s="3">
        <v>45870</v>
      </c>
      <c r="H118" s="2"/>
      <c r="I118" s="2" t="s">
        <v>10</v>
      </c>
      <c r="J118" s="2" t="s">
        <v>134</v>
      </c>
    </row>
    <row r="119" spans="1:10" x14ac:dyDescent="0.3">
      <c r="A119" s="2">
        <v>118</v>
      </c>
      <c r="B119" s="2">
        <v>8</v>
      </c>
      <c r="C119" s="2">
        <v>2</v>
      </c>
      <c r="D119" s="2">
        <v>1</v>
      </c>
      <c r="E119" s="3">
        <v>45954</v>
      </c>
      <c r="F119" s="3">
        <v>45959</v>
      </c>
      <c r="G119" s="3">
        <v>45958</v>
      </c>
      <c r="H119" s="2"/>
      <c r="I119" s="2" t="s">
        <v>10</v>
      </c>
      <c r="J119" s="2" t="s">
        <v>135</v>
      </c>
    </row>
    <row r="120" spans="1:10" x14ac:dyDescent="0.3">
      <c r="A120" s="2">
        <v>119</v>
      </c>
      <c r="B120" s="2">
        <v>8</v>
      </c>
      <c r="C120" s="2">
        <v>9</v>
      </c>
      <c r="D120" s="2">
        <v>1</v>
      </c>
      <c r="E120" s="3">
        <v>45928</v>
      </c>
      <c r="F120" s="3">
        <v>45933</v>
      </c>
      <c r="G120" s="3">
        <v>45931</v>
      </c>
      <c r="H120" s="2"/>
      <c r="I120" s="2" t="s">
        <v>10</v>
      </c>
      <c r="J120" s="2" t="s">
        <v>136</v>
      </c>
    </row>
    <row r="121" spans="1:10" x14ac:dyDescent="0.3">
      <c r="A121" s="2">
        <v>120</v>
      </c>
      <c r="B121" s="2">
        <v>2</v>
      </c>
      <c r="C121" s="2">
        <v>4</v>
      </c>
      <c r="D121" s="2">
        <v>5</v>
      </c>
      <c r="E121" s="3">
        <v>45864</v>
      </c>
      <c r="F121" s="3">
        <v>45868</v>
      </c>
      <c r="G121" s="3">
        <v>45867</v>
      </c>
      <c r="H121" s="2"/>
      <c r="I121" s="2" t="s">
        <v>10</v>
      </c>
      <c r="J121" s="2" t="s">
        <v>137</v>
      </c>
    </row>
    <row r="122" spans="1:10" x14ac:dyDescent="0.3">
      <c r="A122" s="2">
        <v>121</v>
      </c>
      <c r="B122" s="2">
        <v>2</v>
      </c>
      <c r="C122" s="2">
        <v>5</v>
      </c>
      <c r="D122" s="2">
        <v>2</v>
      </c>
      <c r="E122" s="3">
        <v>45884</v>
      </c>
      <c r="F122" s="3">
        <v>45889</v>
      </c>
      <c r="G122" s="3">
        <v>45889</v>
      </c>
      <c r="H122" s="2"/>
      <c r="I122" s="2" t="s">
        <v>10</v>
      </c>
      <c r="J122" s="2" t="s">
        <v>138</v>
      </c>
    </row>
    <row r="123" spans="1:10" x14ac:dyDescent="0.3">
      <c r="A123" s="2">
        <v>122</v>
      </c>
      <c r="B123" s="2">
        <v>10</v>
      </c>
      <c r="C123" s="2">
        <v>10</v>
      </c>
      <c r="D123" s="2">
        <v>2</v>
      </c>
      <c r="E123" s="3">
        <v>45887</v>
      </c>
      <c r="F123" s="3">
        <v>45890</v>
      </c>
      <c r="G123" s="3">
        <v>45888</v>
      </c>
      <c r="H123" s="2"/>
      <c r="I123" s="2" t="s">
        <v>10</v>
      </c>
      <c r="J123" s="2" t="s">
        <v>139</v>
      </c>
    </row>
    <row r="124" spans="1:10" x14ac:dyDescent="0.3">
      <c r="A124" s="2">
        <v>123</v>
      </c>
      <c r="B124" s="2">
        <v>5</v>
      </c>
      <c r="C124" s="2">
        <v>10</v>
      </c>
      <c r="D124" s="2">
        <v>5</v>
      </c>
      <c r="E124" s="3">
        <v>45974</v>
      </c>
      <c r="F124" s="3">
        <v>45977</v>
      </c>
      <c r="G124" s="3">
        <v>45975</v>
      </c>
      <c r="H124" s="2"/>
      <c r="I124" s="2" t="s">
        <v>10</v>
      </c>
      <c r="J124" s="2" t="s">
        <v>140</v>
      </c>
    </row>
    <row r="125" spans="1:10" x14ac:dyDescent="0.3">
      <c r="A125" s="2">
        <v>124</v>
      </c>
      <c r="B125" s="2">
        <v>2</v>
      </c>
      <c r="C125" s="2">
        <v>8</v>
      </c>
      <c r="D125" s="2">
        <v>5</v>
      </c>
      <c r="E125" s="3">
        <v>45931</v>
      </c>
      <c r="F125" s="3">
        <v>45934</v>
      </c>
      <c r="G125" s="3">
        <v>45931</v>
      </c>
      <c r="H125" s="2"/>
      <c r="I125" s="2" t="s">
        <v>10</v>
      </c>
      <c r="J125" s="2" t="s">
        <v>141</v>
      </c>
    </row>
    <row r="126" spans="1:10" x14ac:dyDescent="0.3">
      <c r="A126" s="2">
        <v>125</v>
      </c>
      <c r="B126" s="2">
        <v>5</v>
      </c>
      <c r="C126" s="2">
        <v>7</v>
      </c>
      <c r="D126" s="2">
        <v>4</v>
      </c>
      <c r="E126" s="3">
        <v>45891</v>
      </c>
      <c r="F126" s="3">
        <v>45895</v>
      </c>
      <c r="G126" s="3">
        <v>45893</v>
      </c>
      <c r="H126" s="2"/>
      <c r="I126" s="2" t="s">
        <v>10</v>
      </c>
      <c r="J126" s="2" t="s">
        <v>142</v>
      </c>
    </row>
    <row r="127" spans="1:10" x14ac:dyDescent="0.3">
      <c r="A127" s="2">
        <v>126</v>
      </c>
      <c r="B127" s="2">
        <v>8</v>
      </c>
      <c r="C127" s="2">
        <v>2</v>
      </c>
      <c r="D127" s="2">
        <v>4</v>
      </c>
      <c r="E127" s="3">
        <v>46018</v>
      </c>
      <c r="F127" s="3">
        <v>46022</v>
      </c>
      <c r="G127" s="3">
        <v>46019</v>
      </c>
      <c r="H127" s="2"/>
      <c r="I127" s="2" t="s">
        <v>10</v>
      </c>
      <c r="J127" s="2" t="s">
        <v>143</v>
      </c>
    </row>
    <row r="128" spans="1:10" x14ac:dyDescent="0.3">
      <c r="A128" s="2">
        <v>127</v>
      </c>
      <c r="B128" s="2">
        <v>2</v>
      </c>
      <c r="C128" s="2">
        <v>9</v>
      </c>
      <c r="D128" s="2">
        <v>2</v>
      </c>
      <c r="E128" s="3">
        <v>45849</v>
      </c>
      <c r="F128" s="3">
        <v>45853</v>
      </c>
      <c r="G128" s="3">
        <v>45851</v>
      </c>
      <c r="H128" s="2"/>
      <c r="I128" s="2" t="s">
        <v>10</v>
      </c>
      <c r="J128" s="2" t="s">
        <v>144</v>
      </c>
    </row>
    <row r="129" spans="1:10" x14ac:dyDescent="0.3">
      <c r="A129" s="2">
        <v>128</v>
      </c>
      <c r="B129" s="2">
        <v>1</v>
      </c>
      <c r="C129" s="2">
        <v>6</v>
      </c>
      <c r="D129" s="2">
        <v>2</v>
      </c>
      <c r="E129" s="3">
        <v>45966</v>
      </c>
      <c r="F129" s="3">
        <v>45971</v>
      </c>
      <c r="G129" s="3">
        <v>45971</v>
      </c>
      <c r="H129" s="2"/>
      <c r="I129" s="2" t="s">
        <v>10</v>
      </c>
      <c r="J129" s="2" t="s">
        <v>145</v>
      </c>
    </row>
    <row r="130" spans="1:10" x14ac:dyDescent="0.3">
      <c r="A130" s="2">
        <v>129</v>
      </c>
      <c r="B130" s="2">
        <v>2</v>
      </c>
      <c r="C130" s="2">
        <v>10</v>
      </c>
      <c r="D130" s="2">
        <v>2</v>
      </c>
      <c r="E130" s="3">
        <v>45910</v>
      </c>
      <c r="F130" s="3">
        <v>45913</v>
      </c>
      <c r="G130" s="3">
        <v>45912</v>
      </c>
      <c r="H130" s="2"/>
      <c r="I130" s="2" t="s">
        <v>10</v>
      </c>
      <c r="J130" s="2" t="s">
        <v>146</v>
      </c>
    </row>
    <row r="131" spans="1:10" x14ac:dyDescent="0.3">
      <c r="A131" s="2">
        <v>130</v>
      </c>
      <c r="B131" s="2">
        <v>2</v>
      </c>
      <c r="C131" s="2">
        <v>4</v>
      </c>
      <c r="D131" s="2">
        <v>5</v>
      </c>
      <c r="E131" s="3">
        <v>45843</v>
      </c>
      <c r="F131" s="3">
        <v>45847</v>
      </c>
      <c r="G131" s="3">
        <v>45846</v>
      </c>
      <c r="H131" s="2"/>
      <c r="I131" s="2" t="s">
        <v>10</v>
      </c>
      <c r="J131" s="2" t="s">
        <v>147</v>
      </c>
    </row>
    <row r="132" spans="1:10" x14ac:dyDescent="0.3">
      <c r="A132" s="2">
        <v>131</v>
      </c>
      <c r="B132" s="2">
        <v>8</v>
      </c>
      <c r="C132" s="2">
        <v>7</v>
      </c>
      <c r="D132" s="2">
        <v>4</v>
      </c>
      <c r="E132" s="3">
        <v>45883</v>
      </c>
      <c r="F132" s="3">
        <v>45887</v>
      </c>
      <c r="G132" s="3">
        <v>45887</v>
      </c>
      <c r="H132" s="2"/>
      <c r="I132" s="2" t="s">
        <v>10</v>
      </c>
      <c r="J132" s="2" t="s">
        <v>148</v>
      </c>
    </row>
    <row r="133" spans="1:10" x14ac:dyDescent="0.3">
      <c r="A133" s="2">
        <v>132</v>
      </c>
      <c r="B133" s="2">
        <v>3</v>
      </c>
      <c r="C133" s="2">
        <v>10</v>
      </c>
      <c r="D133" s="2">
        <v>1</v>
      </c>
      <c r="E133" s="3">
        <v>45956</v>
      </c>
      <c r="F133" s="3">
        <v>45960</v>
      </c>
      <c r="G133" s="3">
        <v>45959</v>
      </c>
      <c r="H133" s="2"/>
      <c r="I133" s="2" t="s">
        <v>10</v>
      </c>
      <c r="J133" s="2" t="s">
        <v>149</v>
      </c>
    </row>
    <row r="134" spans="1:10" x14ac:dyDescent="0.3">
      <c r="A134" s="2">
        <v>133</v>
      </c>
      <c r="B134" s="2">
        <v>4</v>
      </c>
      <c r="C134" s="2">
        <v>7</v>
      </c>
      <c r="D134" s="2">
        <v>4</v>
      </c>
      <c r="E134" s="3">
        <v>45857</v>
      </c>
      <c r="F134" s="3">
        <v>45862</v>
      </c>
      <c r="G134" s="3">
        <v>45862</v>
      </c>
      <c r="H134" s="2"/>
      <c r="I134" s="2" t="s">
        <v>10</v>
      </c>
      <c r="J134" s="2" t="s">
        <v>150</v>
      </c>
    </row>
    <row r="135" spans="1:10" x14ac:dyDescent="0.3">
      <c r="A135" s="2">
        <v>134</v>
      </c>
      <c r="B135" s="2">
        <v>8</v>
      </c>
      <c r="C135" s="2">
        <v>5</v>
      </c>
      <c r="D135" s="2">
        <v>3</v>
      </c>
      <c r="E135" s="3">
        <v>45983</v>
      </c>
      <c r="F135" s="3">
        <v>45986</v>
      </c>
      <c r="G135" s="3">
        <v>45983</v>
      </c>
      <c r="H135" s="2"/>
      <c r="I135" s="2" t="s">
        <v>10</v>
      </c>
      <c r="J135" s="2" t="s">
        <v>151</v>
      </c>
    </row>
    <row r="136" spans="1:10" x14ac:dyDescent="0.3">
      <c r="A136" s="2">
        <v>135</v>
      </c>
      <c r="B136" s="2">
        <v>5</v>
      </c>
      <c r="C136" s="2">
        <v>1</v>
      </c>
      <c r="D136" s="2">
        <v>5</v>
      </c>
      <c r="E136" s="3">
        <v>46008</v>
      </c>
      <c r="F136" s="3">
        <v>46011</v>
      </c>
      <c r="G136" s="3">
        <v>46011</v>
      </c>
      <c r="H136" s="2"/>
      <c r="I136" s="2" t="s">
        <v>10</v>
      </c>
      <c r="J136" s="2" t="s">
        <v>152</v>
      </c>
    </row>
    <row r="137" spans="1:10" x14ac:dyDescent="0.3">
      <c r="A137" s="2">
        <v>136</v>
      </c>
      <c r="B137" s="2">
        <v>7</v>
      </c>
      <c r="C137" s="2">
        <v>4</v>
      </c>
      <c r="D137" s="2">
        <v>2</v>
      </c>
      <c r="E137" s="3">
        <v>45970</v>
      </c>
      <c r="F137" s="3">
        <v>45973</v>
      </c>
      <c r="G137" s="3">
        <v>45973</v>
      </c>
      <c r="H137" s="2"/>
      <c r="I137" s="2" t="s">
        <v>10</v>
      </c>
      <c r="J137" s="2" t="s">
        <v>153</v>
      </c>
    </row>
    <row r="138" spans="1:10" x14ac:dyDescent="0.3">
      <c r="A138" s="2">
        <v>137</v>
      </c>
      <c r="B138" s="2">
        <v>6</v>
      </c>
      <c r="C138" s="2">
        <v>8</v>
      </c>
      <c r="D138" s="2">
        <v>4</v>
      </c>
      <c r="E138" s="3">
        <v>45919</v>
      </c>
      <c r="F138" s="3">
        <v>45924</v>
      </c>
      <c r="G138" s="3">
        <v>45924</v>
      </c>
      <c r="H138" s="2"/>
      <c r="I138" s="2" t="s">
        <v>10</v>
      </c>
      <c r="J138" s="2" t="s">
        <v>154</v>
      </c>
    </row>
    <row r="139" spans="1:10" x14ac:dyDescent="0.3">
      <c r="A139" s="2">
        <v>138</v>
      </c>
      <c r="B139" s="2">
        <v>6</v>
      </c>
      <c r="C139" s="2">
        <v>3</v>
      </c>
      <c r="D139" s="2">
        <v>3</v>
      </c>
      <c r="E139" s="3">
        <v>46009</v>
      </c>
      <c r="F139" s="3">
        <v>46013</v>
      </c>
      <c r="G139" s="3">
        <v>46010</v>
      </c>
      <c r="H139" s="2"/>
      <c r="I139" s="2" t="s">
        <v>10</v>
      </c>
      <c r="J139" s="2" t="s">
        <v>155</v>
      </c>
    </row>
    <row r="140" spans="1:10" x14ac:dyDescent="0.3">
      <c r="A140" s="2">
        <v>139</v>
      </c>
      <c r="B140" s="2">
        <v>8</v>
      </c>
      <c r="C140" s="2">
        <v>1</v>
      </c>
      <c r="D140" s="2">
        <v>2</v>
      </c>
      <c r="E140" s="3">
        <v>45958</v>
      </c>
      <c r="F140" s="3">
        <v>45963</v>
      </c>
      <c r="G140" s="3">
        <v>45963</v>
      </c>
      <c r="H140" s="2"/>
      <c r="I140" s="2" t="s">
        <v>10</v>
      </c>
      <c r="J140" s="2" t="s">
        <v>156</v>
      </c>
    </row>
    <row r="141" spans="1:10" x14ac:dyDescent="0.3">
      <c r="A141" s="2">
        <v>140</v>
      </c>
      <c r="B141" s="2">
        <v>10</v>
      </c>
      <c r="C141" s="2">
        <v>6</v>
      </c>
      <c r="D141" s="2">
        <v>5</v>
      </c>
      <c r="E141" s="3">
        <v>46020</v>
      </c>
      <c r="F141" s="3">
        <v>46024</v>
      </c>
      <c r="G141" s="3">
        <v>46023</v>
      </c>
      <c r="H141" s="2"/>
      <c r="I141" s="2" t="s">
        <v>10</v>
      </c>
      <c r="J141" s="2" t="s">
        <v>157</v>
      </c>
    </row>
    <row r="142" spans="1:10" x14ac:dyDescent="0.3">
      <c r="A142" s="2">
        <v>141</v>
      </c>
      <c r="B142" s="2">
        <v>2</v>
      </c>
      <c r="C142" s="2">
        <v>1</v>
      </c>
      <c r="D142" s="2">
        <v>5</v>
      </c>
      <c r="E142" s="3">
        <v>45944</v>
      </c>
      <c r="F142" s="3">
        <v>45949</v>
      </c>
      <c r="G142" s="3">
        <v>45950</v>
      </c>
      <c r="H142" s="2" t="s">
        <v>14</v>
      </c>
      <c r="I142" s="2" t="s">
        <v>12</v>
      </c>
      <c r="J142" s="2" t="s">
        <v>158</v>
      </c>
    </row>
    <row r="143" spans="1:10" x14ac:dyDescent="0.3">
      <c r="A143" s="2">
        <v>142</v>
      </c>
      <c r="B143" s="2">
        <v>10</v>
      </c>
      <c r="C143" s="2">
        <v>2</v>
      </c>
      <c r="D143" s="2">
        <v>4</v>
      </c>
      <c r="E143" s="3">
        <v>45976</v>
      </c>
      <c r="F143" s="3">
        <v>45979</v>
      </c>
      <c r="G143" s="3">
        <v>45980</v>
      </c>
      <c r="H143" s="2" t="s">
        <v>16</v>
      </c>
      <c r="I143" s="2" t="s">
        <v>12</v>
      </c>
      <c r="J143" s="2" t="s">
        <v>159</v>
      </c>
    </row>
    <row r="144" spans="1:10" x14ac:dyDescent="0.3">
      <c r="A144" s="2">
        <v>143</v>
      </c>
      <c r="B144" s="2">
        <v>3</v>
      </c>
      <c r="C144" s="2">
        <v>10</v>
      </c>
      <c r="D144" s="2">
        <v>5</v>
      </c>
      <c r="E144" s="3">
        <v>46002</v>
      </c>
      <c r="F144" s="3">
        <v>46007</v>
      </c>
      <c r="G144" s="3">
        <v>46008</v>
      </c>
      <c r="H144" s="2" t="s">
        <v>16</v>
      </c>
      <c r="I144" s="2" t="s">
        <v>12</v>
      </c>
      <c r="J144" s="2" t="s">
        <v>160</v>
      </c>
    </row>
    <row r="145" spans="1:10" x14ac:dyDescent="0.3">
      <c r="A145" s="2">
        <v>144</v>
      </c>
      <c r="B145" s="2">
        <v>7</v>
      </c>
      <c r="C145" s="2">
        <v>6</v>
      </c>
      <c r="D145" s="2">
        <v>3</v>
      </c>
      <c r="E145" s="3">
        <v>45848</v>
      </c>
      <c r="F145" s="3">
        <v>45853</v>
      </c>
      <c r="G145" s="3">
        <v>45855</v>
      </c>
      <c r="H145" s="2" t="s">
        <v>11</v>
      </c>
      <c r="I145" s="2" t="s">
        <v>12</v>
      </c>
      <c r="J145" s="2" t="s">
        <v>161</v>
      </c>
    </row>
    <row r="146" spans="1:10" x14ac:dyDescent="0.3">
      <c r="A146" s="2">
        <v>145</v>
      </c>
      <c r="B146" s="2">
        <v>10</v>
      </c>
      <c r="C146" s="2">
        <v>1</v>
      </c>
      <c r="D146" s="2">
        <v>2</v>
      </c>
      <c r="E146" s="3">
        <v>46006</v>
      </c>
      <c r="F146" s="3">
        <v>46009</v>
      </c>
      <c r="G146" s="3">
        <v>46010</v>
      </c>
      <c r="H146" s="2" t="s">
        <v>13</v>
      </c>
      <c r="I146" s="2" t="s">
        <v>12</v>
      </c>
      <c r="J146" s="2" t="s">
        <v>162</v>
      </c>
    </row>
    <row r="147" spans="1:10" x14ac:dyDescent="0.3">
      <c r="A147" s="2">
        <v>146</v>
      </c>
      <c r="B147" s="2">
        <v>5</v>
      </c>
      <c r="C147" s="2">
        <v>6</v>
      </c>
      <c r="D147" s="2">
        <v>4</v>
      </c>
      <c r="E147" s="3">
        <v>45941</v>
      </c>
      <c r="F147" s="3">
        <v>45945</v>
      </c>
      <c r="G147" s="3">
        <v>45946</v>
      </c>
      <c r="H147" s="2" t="s">
        <v>11</v>
      </c>
      <c r="I147" s="2" t="s">
        <v>12</v>
      </c>
      <c r="J147" s="2" t="s">
        <v>163</v>
      </c>
    </row>
    <row r="148" spans="1:10" x14ac:dyDescent="0.3">
      <c r="A148" s="2">
        <v>147</v>
      </c>
      <c r="B148" s="2">
        <v>9</v>
      </c>
      <c r="C148" s="2">
        <v>9</v>
      </c>
      <c r="D148" s="2">
        <v>4</v>
      </c>
      <c r="E148" s="3">
        <v>45934</v>
      </c>
      <c r="F148" s="3">
        <v>45938</v>
      </c>
      <c r="G148" s="3">
        <v>45939</v>
      </c>
      <c r="H148" s="2" t="s">
        <v>16</v>
      </c>
      <c r="I148" s="2" t="s">
        <v>12</v>
      </c>
      <c r="J148" s="2" t="s">
        <v>164</v>
      </c>
    </row>
    <row r="149" spans="1:10" x14ac:dyDescent="0.3">
      <c r="A149" s="2">
        <v>148</v>
      </c>
      <c r="B149" s="2">
        <v>6</v>
      </c>
      <c r="C149" s="2">
        <v>7</v>
      </c>
      <c r="D149" s="2">
        <v>3</v>
      </c>
      <c r="E149" s="3">
        <v>45987</v>
      </c>
      <c r="F149" s="3">
        <v>45991</v>
      </c>
      <c r="G149" s="3">
        <v>45993</v>
      </c>
      <c r="H149" s="2" t="s">
        <v>13</v>
      </c>
      <c r="I149" s="2" t="s">
        <v>12</v>
      </c>
      <c r="J149" s="2" t="s">
        <v>165</v>
      </c>
    </row>
    <row r="150" spans="1:10" x14ac:dyDescent="0.3">
      <c r="A150" s="2">
        <v>149</v>
      </c>
      <c r="B150" s="2">
        <v>3</v>
      </c>
      <c r="C150" s="2">
        <v>1</v>
      </c>
      <c r="D150" s="2">
        <v>3</v>
      </c>
      <c r="E150" s="3">
        <v>45881</v>
      </c>
      <c r="F150" s="3">
        <v>45885</v>
      </c>
      <c r="G150" s="3">
        <v>45888</v>
      </c>
      <c r="H150" s="2" t="s">
        <v>13</v>
      </c>
      <c r="I150" s="2" t="s">
        <v>12</v>
      </c>
      <c r="J150" s="2" t="s">
        <v>166</v>
      </c>
    </row>
    <row r="151" spans="1:10" x14ac:dyDescent="0.3">
      <c r="A151" s="2">
        <v>150</v>
      </c>
      <c r="B151" s="2">
        <v>5</v>
      </c>
      <c r="C151" s="2">
        <v>10</v>
      </c>
      <c r="D151" s="2">
        <v>2</v>
      </c>
      <c r="E151" s="3">
        <v>45918</v>
      </c>
      <c r="F151" s="3">
        <v>45922</v>
      </c>
      <c r="G151" s="3">
        <v>45923</v>
      </c>
      <c r="H151" s="2" t="s">
        <v>11</v>
      </c>
      <c r="I151" s="2" t="s">
        <v>12</v>
      </c>
      <c r="J151" s="2" t="s">
        <v>167</v>
      </c>
    </row>
    <row r="152" spans="1:10" x14ac:dyDescent="0.3">
      <c r="A152" s="2">
        <v>151</v>
      </c>
      <c r="B152" s="2">
        <v>1</v>
      </c>
      <c r="C152" s="2">
        <v>2</v>
      </c>
      <c r="D152" s="2">
        <v>4</v>
      </c>
      <c r="E152" s="3">
        <v>45954</v>
      </c>
      <c r="F152" s="3">
        <v>45957</v>
      </c>
      <c r="G152" s="3">
        <v>45960</v>
      </c>
      <c r="H152" s="2" t="s">
        <v>13</v>
      </c>
      <c r="I152" s="2" t="s">
        <v>12</v>
      </c>
      <c r="J152" s="2" t="s">
        <v>168</v>
      </c>
    </row>
    <row r="153" spans="1:10" x14ac:dyDescent="0.3">
      <c r="A153" s="2">
        <v>152</v>
      </c>
      <c r="B153" s="2">
        <v>5</v>
      </c>
      <c r="C153" s="2">
        <v>5</v>
      </c>
      <c r="D153" s="2">
        <v>3</v>
      </c>
      <c r="E153" s="3">
        <v>45980</v>
      </c>
      <c r="F153" s="3">
        <v>45984</v>
      </c>
      <c r="G153" s="3">
        <v>45987</v>
      </c>
      <c r="H153" s="2" t="s">
        <v>11</v>
      </c>
      <c r="I153" s="2" t="s">
        <v>12</v>
      </c>
      <c r="J153" s="2" t="s">
        <v>169</v>
      </c>
    </row>
    <row r="154" spans="1:10" x14ac:dyDescent="0.3">
      <c r="A154" s="2">
        <v>153</v>
      </c>
      <c r="B154" s="2">
        <v>10</v>
      </c>
      <c r="C154" s="2">
        <v>5</v>
      </c>
      <c r="D154" s="2">
        <v>5</v>
      </c>
      <c r="E154" s="3">
        <v>45998</v>
      </c>
      <c r="F154" s="3">
        <v>46001</v>
      </c>
      <c r="G154" s="3">
        <v>46003</v>
      </c>
      <c r="H154" s="2" t="s">
        <v>15</v>
      </c>
      <c r="I154" s="2" t="s">
        <v>12</v>
      </c>
      <c r="J154" s="2" t="s">
        <v>170</v>
      </c>
    </row>
    <row r="155" spans="1:10" x14ac:dyDescent="0.3">
      <c r="A155" s="2">
        <v>154</v>
      </c>
      <c r="B155" s="2">
        <v>7</v>
      </c>
      <c r="C155" s="2">
        <v>3</v>
      </c>
      <c r="D155" s="2">
        <v>5</v>
      </c>
      <c r="E155" s="3">
        <v>45988</v>
      </c>
      <c r="F155" s="3">
        <v>45992</v>
      </c>
      <c r="G155" s="3">
        <v>45995</v>
      </c>
      <c r="H155" s="2" t="s">
        <v>13</v>
      </c>
      <c r="I155" s="2" t="s">
        <v>12</v>
      </c>
      <c r="J155" s="2" t="s">
        <v>171</v>
      </c>
    </row>
    <row r="156" spans="1:10" x14ac:dyDescent="0.3">
      <c r="A156" s="2">
        <v>155</v>
      </c>
      <c r="B156" s="2">
        <v>7</v>
      </c>
      <c r="C156" s="2">
        <v>10</v>
      </c>
      <c r="D156" s="2">
        <v>3</v>
      </c>
      <c r="E156" s="3">
        <v>45963</v>
      </c>
      <c r="F156" s="3">
        <v>45967</v>
      </c>
      <c r="G156" s="3">
        <v>45968</v>
      </c>
      <c r="H156" s="2" t="s">
        <v>14</v>
      </c>
      <c r="I156" s="2" t="s">
        <v>12</v>
      </c>
      <c r="J156" s="2" t="s">
        <v>172</v>
      </c>
    </row>
    <row r="157" spans="1:10" x14ac:dyDescent="0.3">
      <c r="A157" s="2">
        <v>156</v>
      </c>
      <c r="B157" s="2">
        <v>9</v>
      </c>
      <c r="C157" s="2">
        <v>8</v>
      </c>
      <c r="D157" s="2">
        <v>1</v>
      </c>
      <c r="E157" s="3">
        <v>45918</v>
      </c>
      <c r="F157" s="3">
        <v>45921</v>
      </c>
      <c r="G157" s="3">
        <v>45923</v>
      </c>
      <c r="H157" s="2" t="s">
        <v>14</v>
      </c>
      <c r="I157" s="2" t="s">
        <v>12</v>
      </c>
      <c r="J157" s="2" t="s">
        <v>173</v>
      </c>
    </row>
    <row r="158" spans="1:10" x14ac:dyDescent="0.3">
      <c r="A158" s="2">
        <v>157</v>
      </c>
      <c r="B158" s="2">
        <v>6</v>
      </c>
      <c r="C158" s="2">
        <v>8</v>
      </c>
      <c r="D158" s="2">
        <v>5</v>
      </c>
      <c r="E158" s="3">
        <v>45985</v>
      </c>
      <c r="F158" s="3">
        <v>45990</v>
      </c>
      <c r="G158" s="3">
        <v>45993</v>
      </c>
      <c r="H158" s="2" t="s">
        <v>13</v>
      </c>
      <c r="I158" s="2" t="s">
        <v>12</v>
      </c>
      <c r="J158" s="2" t="s">
        <v>174</v>
      </c>
    </row>
    <row r="159" spans="1:10" x14ac:dyDescent="0.3">
      <c r="A159" s="2">
        <v>158</v>
      </c>
      <c r="B159" s="2">
        <v>6</v>
      </c>
      <c r="C159" s="2">
        <v>10</v>
      </c>
      <c r="D159" s="2">
        <v>5</v>
      </c>
      <c r="E159" s="3">
        <v>46018</v>
      </c>
      <c r="F159" s="3">
        <v>46022</v>
      </c>
      <c r="G159" s="3">
        <v>46023</v>
      </c>
      <c r="H159" s="2" t="s">
        <v>16</v>
      </c>
      <c r="I159" s="2" t="s">
        <v>12</v>
      </c>
      <c r="J159" s="2" t="s">
        <v>175</v>
      </c>
    </row>
    <row r="160" spans="1:10" x14ac:dyDescent="0.3">
      <c r="A160" s="2">
        <v>159</v>
      </c>
      <c r="B160" s="2">
        <v>8</v>
      </c>
      <c r="C160" s="2">
        <v>6</v>
      </c>
      <c r="D160" s="2">
        <v>3</v>
      </c>
      <c r="E160" s="3">
        <v>45848</v>
      </c>
      <c r="F160" s="3">
        <v>45852</v>
      </c>
      <c r="G160" s="3">
        <v>45855</v>
      </c>
      <c r="H160" s="2" t="s">
        <v>15</v>
      </c>
      <c r="I160" s="2" t="s">
        <v>12</v>
      </c>
      <c r="J160" s="2" t="s">
        <v>176</v>
      </c>
    </row>
    <row r="161" spans="1:10" x14ac:dyDescent="0.3">
      <c r="A161" s="2">
        <v>160</v>
      </c>
      <c r="B161" s="2">
        <v>2</v>
      </c>
      <c r="C161" s="2">
        <v>3</v>
      </c>
      <c r="D161" s="2">
        <v>1</v>
      </c>
      <c r="E161" s="3">
        <v>45906</v>
      </c>
      <c r="F161" s="3">
        <v>45910</v>
      </c>
      <c r="G161" s="3">
        <v>45912</v>
      </c>
      <c r="H161" s="2" t="s">
        <v>15</v>
      </c>
      <c r="I161" s="2" t="s">
        <v>12</v>
      </c>
      <c r="J161" s="2" t="s">
        <v>177</v>
      </c>
    </row>
    <row r="162" spans="1:10" x14ac:dyDescent="0.3">
      <c r="A162" s="2">
        <v>161</v>
      </c>
      <c r="B162" s="2">
        <v>10</v>
      </c>
      <c r="C162" s="2">
        <v>2</v>
      </c>
      <c r="D162" s="2">
        <v>3</v>
      </c>
      <c r="E162" s="3">
        <v>46017</v>
      </c>
      <c r="F162" s="3">
        <v>46021</v>
      </c>
      <c r="G162" s="3">
        <v>46022</v>
      </c>
      <c r="H162" s="2" t="s">
        <v>14</v>
      </c>
      <c r="I162" s="2" t="s">
        <v>12</v>
      </c>
      <c r="J162" s="2" t="s">
        <v>178</v>
      </c>
    </row>
    <row r="163" spans="1:10" x14ac:dyDescent="0.3">
      <c r="A163" s="2">
        <v>162</v>
      </c>
      <c r="B163" s="2">
        <v>1</v>
      </c>
      <c r="C163" s="2">
        <v>10</v>
      </c>
      <c r="D163" s="2">
        <v>2</v>
      </c>
      <c r="E163" s="3">
        <v>46012</v>
      </c>
      <c r="F163" s="3">
        <v>46017</v>
      </c>
      <c r="G163" s="3">
        <v>46018</v>
      </c>
      <c r="H163" s="2" t="s">
        <v>11</v>
      </c>
      <c r="I163" s="2" t="s">
        <v>12</v>
      </c>
      <c r="J163" s="2" t="s">
        <v>179</v>
      </c>
    </row>
    <row r="164" spans="1:10" x14ac:dyDescent="0.3">
      <c r="A164" s="2">
        <v>163</v>
      </c>
      <c r="B164" s="2">
        <v>2</v>
      </c>
      <c r="C164" s="2">
        <v>10</v>
      </c>
      <c r="D164" s="2">
        <v>2</v>
      </c>
      <c r="E164" s="3">
        <v>45970</v>
      </c>
      <c r="F164" s="3">
        <v>45973</v>
      </c>
      <c r="G164" s="3">
        <v>45976</v>
      </c>
      <c r="H164" s="2" t="s">
        <v>16</v>
      </c>
      <c r="I164" s="2" t="s">
        <v>12</v>
      </c>
      <c r="J164" s="2" t="s">
        <v>180</v>
      </c>
    </row>
    <row r="165" spans="1:10" x14ac:dyDescent="0.3">
      <c r="A165" s="2">
        <v>164</v>
      </c>
      <c r="B165" s="2">
        <v>6</v>
      </c>
      <c r="C165" s="2">
        <v>10</v>
      </c>
      <c r="D165" s="2">
        <v>2</v>
      </c>
      <c r="E165" s="3">
        <v>45928</v>
      </c>
      <c r="F165" s="3">
        <v>45931</v>
      </c>
      <c r="G165" s="3">
        <v>45934</v>
      </c>
      <c r="H165" s="2" t="s">
        <v>13</v>
      </c>
      <c r="I165" s="2" t="s">
        <v>12</v>
      </c>
      <c r="J165" s="2" t="s">
        <v>181</v>
      </c>
    </row>
    <row r="166" spans="1:10" x14ac:dyDescent="0.3">
      <c r="A166" s="2">
        <v>165</v>
      </c>
      <c r="B166" s="2">
        <v>10</v>
      </c>
      <c r="C166" s="2">
        <v>5</v>
      </c>
      <c r="D166" s="2">
        <v>4</v>
      </c>
      <c r="E166" s="3">
        <v>46021</v>
      </c>
      <c r="F166" s="3">
        <v>46026</v>
      </c>
      <c r="G166" s="3">
        <v>46029</v>
      </c>
      <c r="H166" s="2" t="s">
        <v>16</v>
      </c>
      <c r="I166" s="2" t="s">
        <v>12</v>
      </c>
      <c r="J166" s="2" t="s">
        <v>182</v>
      </c>
    </row>
    <row r="167" spans="1:10" x14ac:dyDescent="0.3">
      <c r="A167" s="2">
        <v>166</v>
      </c>
      <c r="B167" s="2">
        <v>9</v>
      </c>
      <c r="C167" s="2">
        <v>4</v>
      </c>
      <c r="D167" s="2">
        <v>2</v>
      </c>
      <c r="E167" s="3">
        <v>45989</v>
      </c>
      <c r="F167" s="3">
        <v>45992</v>
      </c>
      <c r="G167" s="3">
        <v>45995</v>
      </c>
      <c r="H167" s="2" t="s">
        <v>15</v>
      </c>
      <c r="I167" s="2" t="s">
        <v>12</v>
      </c>
      <c r="J167" s="2" t="s">
        <v>183</v>
      </c>
    </row>
    <row r="168" spans="1:10" x14ac:dyDescent="0.3">
      <c r="A168" s="2">
        <v>167</v>
      </c>
      <c r="B168" s="2">
        <v>5</v>
      </c>
      <c r="C168" s="2">
        <v>7</v>
      </c>
      <c r="D168" s="2">
        <v>3</v>
      </c>
      <c r="E168" s="3">
        <v>45955</v>
      </c>
      <c r="F168" s="3">
        <v>45960</v>
      </c>
      <c r="G168" s="3">
        <v>45963</v>
      </c>
      <c r="H168" s="2" t="s">
        <v>16</v>
      </c>
      <c r="I168" s="2" t="s">
        <v>12</v>
      </c>
      <c r="J168" s="2" t="s">
        <v>184</v>
      </c>
    </row>
    <row r="169" spans="1:10" x14ac:dyDescent="0.3">
      <c r="A169" s="2">
        <v>168</v>
      </c>
      <c r="B169" s="2">
        <v>1</v>
      </c>
      <c r="C169" s="2">
        <v>1</v>
      </c>
      <c r="D169" s="2">
        <v>4</v>
      </c>
      <c r="E169" s="3">
        <v>45986</v>
      </c>
      <c r="F169" s="3">
        <v>45991</v>
      </c>
      <c r="G169" s="3">
        <v>45992</v>
      </c>
      <c r="H169" s="2" t="s">
        <v>14</v>
      </c>
      <c r="I169" s="2" t="s">
        <v>12</v>
      </c>
      <c r="J169" s="2" t="s">
        <v>185</v>
      </c>
    </row>
    <row r="170" spans="1:10" x14ac:dyDescent="0.3">
      <c r="A170" s="2">
        <v>169</v>
      </c>
      <c r="B170" s="2">
        <v>5</v>
      </c>
      <c r="C170" s="2">
        <v>2</v>
      </c>
      <c r="D170" s="2">
        <v>5</v>
      </c>
      <c r="E170" s="3">
        <v>46016</v>
      </c>
      <c r="F170" s="3">
        <v>46021</v>
      </c>
      <c r="G170" s="3">
        <v>46024</v>
      </c>
      <c r="H170" s="2" t="s">
        <v>11</v>
      </c>
      <c r="I170" s="2" t="s">
        <v>12</v>
      </c>
      <c r="J170" s="2" t="s">
        <v>186</v>
      </c>
    </row>
    <row r="171" spans="1:10" x14ac:dyDescent="0.3">
      <c r="A171" s="2">
        <v>170</v>
      </c>
      <c r="B171" s="2">
        <v>1</v>
      </c>
      <c r="C171" s="2">
        <v>3</v>
      </c>
      <c r="D171" s="2">
        <v>3</v>
      </c>
      <c r="E171" s="3">
        <v>46016</v>
      </c>
      <c r="F171" s="3">
        <v>46021</v>
      </c>
      <c r="G171" s="3">
        <v>46024</v>
      </c>
      <c r="H171" s="2" t="s">
        <v>11</v>
      </c>
      <c r="I171" s="2" t="s">
        <v>12</v>
      </c>
      <c r="J171" s="2" t="s">
        <v>187</v>
      </c>
    </row>
    <row r="172" spans="1:10" x14ac:dyDescent="0.3">
      <c r="A172" s="2">
        <v>171</v>
      </c>
      <c r="B172" s="2">
        <v>10</v>
      </c>
      <c r="C172" s="2">
        <v>8</v>
      </c>
      <c r="D172" s="2">
        <v>5</v>
      </c>
      <c r="E172" s="3">
        <v>45950</v>
      </c>
      <c r="F172" s="3">
        <v>45955</v>
      </c>
      <c r="G172" s="3">
        <v>45957</v>
      </c>
      <c r="H172" s="2" t="s">
        <v>16</v>
      </c>
      <c r="I172" s="2" t="s">
        <v>12</v>
      </c>
      <c r="J172" s="2" t="s">
        <v>188</v>
      </c>
    </row>
    <row r="173" spans="1:10" x14ac:dyDescent="0.3">
      <c r="A173" s="2">
        <v>172</v>
      </c>
      <c r="B173" s="2">
        <v>8</v>
      </c>
      <c r="C173" s="2">
        <v>6</v>
      </c>
      <c r="D173" s="2">
        <v>2</v>
      </c>
      <c r="E173" s="3">
        <v>45954</v>
      </c>
      <c r="F173" s="3">
        <v>45959</v>
      </c>
      <c r="G173" s="3">
        <v>45962</v>
      </c>
      <c r="H173" s="2" t="s">
        <v>15</v>
      </c>
      <c r="I173" s="2" t="s">
        <v>12</v>
      </c>
      <c r="J173" s="2" t="s">
        <v>189</v>
      </c>
    </row>
    <row r="174" spans="1:10" x14ac:dyDescent="0.3">
      <c r="A174" s="2">
        <v>173</v>
      </c>
      <c r="B174" s="2">
        <v>7</v>
      </c>
      <c r="C174" s="2">
        <v>4</v>
      </c>
      <c r="D174" s="2">
        <v>4</v>
      </c>
      <c r="E174" s="3">
        <v>45910</v>
      </c>
      <c r="F174" s="3">
        <v>45913</v>
      </c>
      <c r="G174" s="3">
        <v>45915</v>
      </c>
      <c r="H174" s="2" t="s">
        <v>15</v>
      </c>
      <c r="I174" s="2" t="s">
        <v>12</v>
      </c>
      <c r="J174" s="2" t="s">
        <v>190</v>
      </c>
    </row>
    <row r="175" spans="1:10" x14ac:dyDescent="0.3">
      <c r="A175" s="2">
        <v>174</v>
      </c>
      <c r="B175" s="2">
        <v>8</v>
      </c>
      <c r="C175" s="2">
        <v>8</v>
      </c>
      <c r="D175" s="2">
        <v>4</v>
      </c>
      <c r="E175" s="3">
        <v>45911</v>
      </c>
      <c r="F175" s="3">
        <v>45915</v>
      </c>
      <c r="G175" s="3">
        <v>45917</v>
      </c>
      <c r="H175" s="2" t="s">
        <v>13</v>
      </c>
      <c r="I175" s="2" t="s">
        <v>12</v>
      </c>
      <c r="J175" s="2" t="s">
        <v>191</v>
      </c>
    </row>
    <row r="176" spans="1:10" x14ac:dyDescent="0.3">
      <c r="A176" s="2">
        <v>175</v>
      </c>
      <c r="B176" s="2">
        <v>8</v>
      </c>
      <c r="C176" s="2">
        <v>1</v>
      </c>
      <c r="D176" s="2">
        <v>1</v>
      </c>
      <c r="E176" s="3">
        <v>45919</v>
      </c>
      <c r="F176" s="3">
        <v>45924</v>
      </c>
      <c r="G176" s="3">
        <v>45926</v>
      </c>
      <c r="H176" s="2" t="s">
        <v>16</v>
      </c>
      <c r="I176" s="2" t="s">
        <v>12</v>
      </c>
      <c r="J176" s="2" t="s">
        <v>192</v>
      </c>
    </row>
    <row r="177" spans="1:10" x14ac:dyDescent="0.3">
      <c r="A177" s="2">
        <v>176</v>
      </c>
      <c r="B177" s="2">
        <v>5</v>
      </c>
      <c r="C177" s="2">
        <v>2</v>
      </c>
      <c r="D177" s="2">
        <v>5</v>
      </c>
      <c r="E177" s="3">
        <v>45968</v>
      </c>
      <c r="F177" s="3">
        <v>45971</v>
      </c>
      <c r="G177" s="3">
        <v>45974</v>
      </c>
      <c r="H177" s="2" t="s">
        <v>13</v>
      </c>
      <c r="I177" s="2" t="s">
        <v>12</v>
      </c>
      <c r="J177" s="2" t="s">
        <v>193</v>
      </c>
    </row>
    <row r="178" spans="1:10" x14ac:dyDescent="0.3">
      <c r="A178" s="2">
        <v>177</v>
      </c>
      <c r="B178" s="2">
        <v>6</v>
      </c>
      <c r="C178" s="2">
        <v>9</v>
      </c>
      <c r="D178" s="2">
        <v>1</v>
      </c>
      <c r="E178" s="3">
        <v>46007</v>
      </c>
      <c r="F178" s="3">
        <v>46010</v>
      </c>
      <c r="G178" s="3">
        <v>46012</v>
      </c>
      <c r="H178" s="2" t="s">
        <v>11</v>
      </c>
      <c r="I178" s="2" t="s">
        <v>12</v>
      </c>
      <c r="J178" s="2" t="s">
        <v>194</v>
      </c>
    </row>
    <row r="179" spans="1:10" x14ac:dyDescent="0.3">
      <c r="A179" s="2">
        <v>178</v>
      </c>
      <c r="B179" s="2">
        <v>10</v>
      </c>
      <c r="C179" s="2">
        <v>3</v>
      </c>
      <c r="D179" s="2">
        <v>1</v>
      </c>
      <c r="E179" s="3">
        <v>45841</v>
      </c>
      <c r="F179" s="3">
        <v>45844</v>
      </c>
      <c r="G179" s="3">
        <v>45845</v>
      </c>
      <c r="H179" s="2" t="s">
        <v>13</v>
      </c>
      <c r="I179" s="2" t="s">
        <v>12</v>
      </c>
      <c r="J179" s="2" t="s">
        <v>195</v>
      </c>
    </row>
    <row r="180" spans="1:10" x14ac:dyDescent="0.3">
      <c r="A180" s="2">
        <v>179</v>
      </c>
      <c r="B180" s="2">
        <v>3</v>
      </c>
      <c r="C180" s="2">
        <v>5</v>
      </c>
      <c r="D180" s="2">
        <v>3</v>
      </c>
      <c r="E180" s="3">
        <v>45866</v>
      </c>
      <c r="F180" s="3">
        <v>45869</v>
      </c>
      <c r="G180" s="3">
        <v>45870</v>
      </c>
      <c r="H180" s="2" t="s">
        <v>13</v>
      </c>
      <c r="I180" s="2" t="s">
        <v>12</v>
      </c>
      <c r="J180" s="2" t="s">
        <v>196</v>
      </c>
    </row>
    <row r="181" spans="1:10" x14ac:dyDescent="0.3">
      <c r="A181" s="2">
        <v>180</v>
      </c>
      <c r="B181" s="2">
        <v>8</v>
      </c>
      <c r="C181" s="2">
        <v>8</v>
      </c>
      <c r="D181" s="2">
        <v>5</v>
      </c>
      <c r="E181" s="3">
        <v>45880</v>
      </c>
      <c r="F181" s="3">
        <v>45885</v>
      </c>
      <c r="G181" s="3">
        <v>45886</v>
      </c>
      <c r="H181" s="2" t="s">
        <v>11</v>
      </c>
      <c r="I181" s="2" t="s">
        <v>12</v>
      </c>
      <c r="J181" s="2" t="s">
        <v>197</v>
      </c>
    </row>
    <row r="182" spans="1:10" x14ac:dyDescent="0.3">
      <c r="A182" s="2">
        <v>181</v>
      </c>
      <c r="B182" s="2">
        <v>7</v>
      </c>
      <c r="C182" s="2">
        <v>2</v>
      </c>
      <c r="D182" s="2">
        <v>2</v>
      </c>
      <c r="E182" s="3">
        <v>45959</v>
      </c>
      <c r="F182" s="3">
        <v>45964</v>
      </c>
      <c r="G182" s="2"/>
      <c r="H182" s="2"/>
      <c r="I182" s="2" t="s">
        <v>17</v>
      </c>
      <c r="J182" s="2" t="s">
        <v>198</v>
      </c>
    </row>
    <row r="183" spans="1:10" x14ac:dyDescent="0.3">
      <c r="A183" s="2">
        <v>182</v>
      </c>
      <c r="B183" s="2">
        <v>3</v>
      </c>
      <c r="C183" s="2">
        <v>9</v>
      </c>
      <c r="D183" s="2">
        <v>1</v>
      </c>
      <c r="E183" s="3">
        <v>45896</v>
      </c>
      <c r="F183" s="3">
        <v>45900</v>
      </c>
      <c r="G183" s="2"/>
      <c r="H183" s="2"/>
      <c r="I183" s="2" t="s">
        <v>17</v>
      </c>
      <c r="J183" s="2" t="s">
        <v>199</v>
      </c>
    </row>
    <row r="184" spans="1:10" x14ac:dyDescent="0.3">
      <c r="A184" s="2">
        <v>183</v>
      </c>
      <c r="B184" s="2">
        <v>6</v>
      </c>
      <c r="C184" s="2">
        <v>8</v>
      </c>
      <c r="D184" s="2">
        <v>3</v>
      </c>
      <c r="E184" s="3">
        <v>45939</v>
      </c>
      <c r="F184" s="3">
        <v>45944</v>
      </c>
      <c r="G184" s="2"/>
      <c r="H184" s="2"/>
      <c r="I184" s="2" t="s">
        <v>17</v>
      </c>
      <c r="J184" s="2" t="s">
        <v>200</v>
      </c>
    </row>
    <row r="185" spans="1:10" x14ac:dyDescent="0.3">
      <c r="A185" s="2">
        <v>184</v>
      </c>
      <c r="B185" s="2">
        <v>10</v>
      </c>
      <c r="C185" s="2">
        <v>2</v>
      </c>
      <c r="D185" s="2">
        <v>1</v>
      </c>
      <c r="E185" s="3">
        <v>45927</v>
      </c>
      <c r="F185" s="3">
        <v>45930</v>
      </c>
      <c r="G185" s="2"/>
      <c r="H185" s="2"/>
      <c r="I185" s="2" t="s">
        <v>17</v>
      </c>
      <c r="J185" s="2" t="s">
        <v>201</v>
      </c>
    </row>
    <row r="186" spans="1:10" x14ac:dyDescent="0.3">
      <c r="A186" s="2">
        <v>185</v>
      </c>
      <c r="B186" s="2">
        <v>2</v>
      </c>
      <c r="C186" s="2">
        <v>4</v>
      </c>
      <c r="D186" s="2">
        <v>4</v>
      </c>
      <c r="E186" s="3">
        <v>45959</v>
      </c>
      <c r="F186" s="3">
        <v>45964</v>
      </c>
      <c r="G186" s="2"/>
      <c r="H186" s="2"/>
      <c r="I186" s="2" t="s">
        <v>17</v>
      </c>
      <c r="J186" s="2" t="s">
        <v>202</v>
      </c>
    </row>
    <row r="187" spans="1:10" x14ac:dyDescent="0.3">
      <c r="A187" s="2">
        <v>186</v>
      </c>
      <c r="B187" s="2">
        <v>3</v>
      </c>
      <c r="C187" s="2">
        <v>9</v>
      </c>
      <c r="D187" s="2">
        <v>4</v>
      </c>
      <c r="E187" s="3">
        <v>45995</v>
      </c>
      <c r="F187" s="3">
        <v>45999</v>
      </c>
      <c r="G187" s="2"/>
      <c r="H187" s="2"/>
      <c r="I187" s="2" t="s">
        <v>17</v>
      </c>
      <c r="J187" s="2" t="s">
        <v>203</v>
      </c>
    </row>
    <row r="188" spans="1:10" x14ac:dyDescent="0.3">
      <c r="A188" s="2">
        <v>187</v>
      </c>
      <c r="B188" s="2">
        <v>9</v>
      </c>
      <c r="C188" s="2">
        <v>9</v>
      </c>
      <c r="D188" s="2">
        <v>4</v>
      </c>
      <c r="E188" s="3">
        <v>45869</v>
      </c>
      <c r="F188" s="3">
        <v>45872</v>
      </c>
      <c r="G188" s="2"/>
      <c r="H188" s="2"/>
      <c r="I188" s="2" t="s">
        <v>17</v>
      </c>
      <c r="J188" s="2" t="s">
        <v>204</v>
      </c>
    </row>
    <row r="189" spans="1:10" x14ac:dyDescent="0.3">
      <c r="A189" s="2">
        <v>188</v>
      </c>
      <c r="B189" s="2">
        <v>2</v>
      </c>
      <c r="C189" s="2">
        <v>5</v>
      </c>
      <c r="D189" s="2">
        <v>4</v>
      </c>
      <c r="E189" s="3">
        <v>45959</v>
      </c>
      <c r="F189" s="3">
        <v>45963</v>
      </c>
      <c r="G189" s="2"/>
      <c r="H189" s="2"/>
      <c r="I189" s="2" t="s">
        <v>17</v>
      </c>
      <c r="J189" s="2" t="s">
        <v>205</v>
      </c>
    </row>
    <row r="190" spans="1:10" x14ac:dyDescent="0.3">
      <c r="A190" s="2">
        <v>189</v>
      </c>
      <c r="B190" s="2">
        <v>9</v>
      </c>
      <c r="C190" s="2">
        <v>9</v>
      </c>
      <c r="D190" s="2">
        <v>5</v>
      </c>
      <c r="E190" s="3">
        <v>46000</v>
      </c>
      <c r="F190" s="3">
        <v>46004</v>
      </c>
      <c r="G190" s="2"/>
      <c r="H190" s="2"/>
      <c r="I190" s="2" t="s">
        <v>17</v>
      </c>
      <c r="J190" s="2" t="s">
        <v>206</v>
      </c>
    </row>
    <row r="191" spans="1:10" x14ac:dyDescent="0.3">
      <c r="A191" s="2">
        <v>190</v>
      </c>
      <c r="B191" s="2">
        <v>6</v>
      </c>
      <c r="C191" s="2">
        <v>6</v>
      </c>
      <c r="D191" s="2">
        <v>1</v>
      </c>
      <c r="E191" s="3">
        <v>45849</v>
      </c>
      <c r="F191" s="3">
        <v>45852</v>
      </c>
      <c r="G191" s="2"/>
      <c r="H191" s="2"/>
      <c r="I191" s="2" t="s">
        <v>17</v>
      </c>
      <c r="J191" s="2" t="s">
        <v>207</v>
      </c>
    </row>
    <row r="192" spans="1:10" x14ac:dyDescent="0.3">
      <c r="A192" s="2">
        <v>191</v>
      </c>
      <c r="B192" s="2">
        <v>3</v>
      </c>
      <c r="C192" s="2">
        <v>9</v>
      </c>
      <c r="D192" s="2">
        <v>1</v>
      </c>
      <c r="E192" s="3">
        <v>45874</v>
      </c>
      <c r="F192" s="3">
        <v>45878</v>
      </c>
      <c r="G192" s="2"/>
      <c r="H192" s="2"/>
      <c r="I192" s="2" t="s">
        <v>17</v>
      </c>
      <c r="J192" s="2" t="s">
        <v>208</v>
      </c>
    </row>
    <row r="193" spans="1:10" x14ac:dyDescent="0.3">
      <c r="A193" s="2">
        <v>192</v>
      </c>
      <c r="B193" s="2">
        <v>7</v>
      </c>
      <c r="C193" s="2">
        <v>3</v>
      </c>
      <c r="D193" s="2">
        <v>2</v>
      </c>
      <c r="E193" s="3">
        <v>46000</v>
      </c>
      <c r="F193" s="3">
        <v>46003</v>
      </c>
      <c r="G193" s="2"/>
      <c r="H193" s="2"/>
      <c r="I193" s="2" t="s">
        <v>17</v>
      </c>
      <c r="J193" s="2" t="s">
        <v>209</v>
      </c>
    </row>
    <row r="194" spans="1:10" x14ac:dyDescent="0.3">
      <c r="A194" s="2">
        <v>193</v>
      </c>
      <c r="B194" s="2">
        <v>1</v>
      </c>
      <c r="C194" s="2">
        <v>6</v>
      </c>
      <c r="D194" s="2">
        <v>1</v>
      </c>
      <c r="E194" s="3">
        <v>45973</v>
      </c>
      <c r="F194" s="3">
        <v>45978</v>
      </c>
      <c r="G194" s="2"/>
      <c r="H194" s="2"/>
      <c r="I194" s="2" t="s">
        <v>17</v>
      </c>
      <c r="J194" s="2" t="s">
        <v>210</v>
      </c>
    </row>
    <row r="195" spans="1:10" x14ac:dyDescent="0.3">
      <c r="A195" s="2">
        <v>194</v>
      </c>
      <c r="B195" s="2">
        <v>6</v>
      </c>
      <c r="C195" s="2">
        <v>9</v>
      </c>
      <c r="D195" s="2">
        <v>3</v>
      </c>
      <c r="E195" s="3">
        <v>46008</v>
      </c>
      <c r="F195" s="3">
        <v>46011</v>
      </c>
      <c r="G195" s="2"/>
      <c r="H195" s="2"/>
      <c r="I195" s="2" t="s">
        <v>17</v>
      </c>
      <c r="J195" s="2" t="s">
        <v>211</v>
      </c>
    </row>
    <row r="196" spans="1:10" x14ac:dyDescent="0.3">
      <c r="A196" s="2">
        <v>195</v>
      </c>
      <c r="B196" s="2">
        <v>6</v>
      </c>
      <c r="C196" s="2">
        <v>5</v>
      </c>
      <c r="D196" s="2">
        <v>2</v>
      </c>
      <c r="E196" s="3">
        <v>45906</v>
      </c>
      <c r="F196" s="3">
        <v>45909</v>
      </c>
      <c r="G196" s="2"/>
      <c r="H196" s="2"/>
      <c r="I196" s="2" t="s">
        <v>17</v>
      </c>
      <c r="J196" s="2" t="s">
        <v>212</v>
      </c>
    </row>
    <row r="197" spans="1:10" x14ac:dyDescent="0.3">
      <c r="A197" s="2">
        <v>196</v>
      </c>
      <c r="B197" s="2">
        <v>4</v>
      </c>
      <c r="C197" s="2">
        <v>9</v>
      </c>
      <c r="D197" s="2">
        <v>4</v>
      </c>
      <c r="E197" s="3">
        <v>45877</v>
      </c>
      <c r="F197" s="3">
        <v>45882</v>
      </c>
      <c r="G197" s="2"/>
      <c r="H197" s="2"/>
      <c r="I197" s="2" t="s">
        <v>17</v>
      </c>
      <c r="J197" s="2" t="s">
        <v>213</v>
      </c>
    </row>
    <row r="198" spans="1:10" x14ac:dyDescent="0.3">
      <c r="A198" s="2">
        <v>197</v>
      </c>
      <c r="B198" s="2">
        <v>5</v>
      </c>
      <c r="C198" s="2">
        <v>8</v>
      </c>
      <c r="D198" s="2">
        <v>4</v>
      </c>
      <c r="E198" s="3">
        <v>45963</v>
      </c>
      <c r="F198" s="3">
        <v>45967</v>
      </c>
      <c r="G198" s="2"/>
      <c r="H198" s="2"/>
      <c r="I198" s="2" t="s">
        <v>17</v>
      </c>
      <c r="J198" s="2" t="s">
        <v>214</v>
      </c>
    </row>
    <row r="199" spans="1:10" x14ac:dyDescent="0.3">
      <c r="A199" s="2">
        <v>198</v>
      </c>
      <c r="B199" s="2">
        <v>10</v>
      </c>
      <c r="C199" s="2">
        <v>8</v>
      </c>
      <c r="D199" s="2">
        <v>1</v>
      </c>
      <c r="E199" s="3">
        <v>46016</v>
      </c>
      <c r="F199" s="3">
        <v>46020</v>
      </c>
      <c r="G199" s="2"/>
      <c r="H199" s="2"/>
      <c r="I199" s="2" t="s">
        <v>17</v>
      </c>
      <c r="J199" s="2" t="s">
        <v>215</v>
      </c>
    </row>
    <row r="200" spans="1:10" x14ac:dyDescent="0.3">
      <c r="A200" s="2">
        <v>199</v>
      </c>
      <c r="B200" s="2">
        <v>10</v>
      </c>
      <c r="C200" s="2">
        <v>3</v>
      </c>
      <c r="D200" s="2">
        <v>1</v>
      </c>
      <c r="E200" s="3">
        <v>45949</v>
      </c>
      <c r="F200" s="3">
        <v>45953</v>
      </c>
      <c r="G200" s="2"/>
      <c r="H200" s="2"/>
      <c r="I200" s="2" t="s">
        <v>17</v>
      </c>
      <c r="J200" s="2" t="s">
        <v>216</v>
      </c>
    </row>
    <row r="201" spans="1:10" x14ac:dyDescent="0.3">
      <c r="A201" s="2">
        <v>200</v>
      </c>
      <c r="B201" s="2">
        <v>6</v>
      </c>
      <c r="C201" s="2">
        <v>1</v>
      </c>
      <c r="D201" s="2">
        <v>5</v>
      </c>
      <c r="E201" s="3">
        <v>45987</v>
      </c>
      <c r="F201" s="3">
        <v>45990</v>
      </c>
      <c r="G201" s="2"/>
      <c r="H201" s="2"/>
      <c r="I201" s="2" t="s">
        <v>17</v>
      </c>
      <c r="J201" s="2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9B72-5BD2-4696-9EF1-64EBC92853A3}">
  <dimension ref="A2:D40"/>
  <sheetViews>
    <sheetView zoomScaleNormal="100" workbookViewId="0">
      <selection activeCell="C4" sqref="C4"/>
    </sheetView>
  </sheetViews>
  <sheetFormatPr defaultRowHeight="14.4" x14ac:dyDescent="0.3"/>
  <cols>
    <col min="1" max="1" width="27.5546875" customWidth="1"/>
    <col min="2" max="2" width="20.44140625" customWidth="1"/>
    <col min="3" max="3" width="21.33203125" customWidth="1"/>
    <col min="4" max="4" width="19.21875" customWidth="1"/>
  </cols>
  <sheetData>
    <row r="2" spans="1:4" ht="15.6" x14ac:dyDescent="0.3">
      <c r="A2" s="9" t="s">
        <v>221</v>
      </c>
    </row>
    <row r="3" spans="1:4" x14ac:dyDescent="0.3">
      <c r="A3" t="s">
        <v>218</v>
      </c>
      <c r="B3" t="s">
        <v>219</v>
      </c>
      <c r="C3" t="s">
        <v>220</v>
      </c>
    </row>
    <row r="4" spans="1:4" x14ac:dyDescent="0.3">
      <c r="A4" s="7">
        <v>180</v>
      </c>
      <c r="B4" s="7">
        <v>140</v>
      </c>
      <c r="C4" s="11">
        <f xml:space="preserve"> Table1[[#This Row],[ on_time_shipments]]/Table1[[#This Row],[total_completed_shipments]]</f>
        <v>0.77777777777777779</v>
      </c>
    </row>
    <row r="7" spans="1:4" ht="15.6" x14ac:dyDescent="0.3">
      <c r="A7" s="9" t="s">
        <v>222</v>
      </c>
    </row>
    <row r="8" spans="1:4" x14ac:dyDescent="0.3">
      <c r="A8" t="s">
        <v>223</v>
      </c>
      <c r="B8" t="s">
        <v>224</v>
      </c>
      <c r="C8" t="s">
        <v>225</v>
      </c>
      <c r="D8" t="s">
        <v>226</v>
      </c>
    </row>
    <row r="9" spans="1:4" x14ac:dyDescent="0.3">
      <c r="A9" s="8" t="s">
        <v>231</v>
      </c>
      <c r="B9" s="8">
        <v>28</v>
      </c>
      <c r="C9" s="8">
        <v>5</v>
      </c>
      <c r="D9" s="10">
        <f xml:space="preserve"> Table2[[#This Row],[ delayed_orders]]/Table2[[#This Row],[ total_orders]]</f>
        <v>0.17857142857142858</v>
      </c>
    </row>
    <row r="10" spans="1:4" x14ac:dyDescent="0.3">
      <c r="A10" s="8" t="s">
        <v>230</v>
      </c>
      <c r="B10" s="8">
        <v>37</v>
      </c>
      <c r="C10" s="8">
        <v>7</v>
      </c>
      <c r="D10" s="10">
        <f xml:space="preserve"> Table2[[#This Row],[ delayed_orders]]/Table2[[#This Row],[ total_orders]]</f>
        <v>0.1891891891891892</v>
      </c>
    </row>
    <row r="11" spans="1:4" x14ac:dyDescent="0.3">
      <c r="A11" s="8" t="s">
        <v>229</v>
      </c>
      <c r="B11" s="8">
        <v>44</v>
      </c>
      <c r="C11" s="8">
        <v>10</v>
      </c>
      <c r="D11" s="10">
        <f xml:space="preserve"> Table2[[#This Row],[ delayed_orders]]/Table2[[#This Row],[ total_orders]]</f>
        <v>0.22727272727272727</v>
      </c>
    </row>
    <row r="12" spans="1:4" x14ac:dyDescent="0.3">
      <c r="A12" s="8" t="s">
        <v>228</v>
      </c>
      <c r="B12" s="8">
        <v>33</v>
      </c>
      <c r="C12" s="8">
        <v>8</v>
      </c>
      <c r="D12" s="10">
        <f xml:space="preserve"> Table2[[#This Row],[ delayed_orders]]/Table2[[#This Row],[ total_orders]]</f>
        <v>0.24242424242424243</v>
      </c>
    </row>
    <row r="13" spans="1:4" x14ac:dyDescent="0.3">
      <c r="A13" s="8" t="s">
        <v>227</v>
      </c>
      <c r="B13" s="8">
        <v>38</v>
      </c>
      <c r="C13" s="8">
        <v>10</v>
      </c>
      <c r="D13" s="10">
        <f xml:space="preserve"> Table2[[#This Row],[ delayed_orders]]/Table2[[#This Row],[ total_orders]]</f>
        <v>0.26315789473684209</v>
      </c>
    </row>
    <row r="16" spans="1:4" ht="15.6" x14ac:dyDescent="0.3">
      <c r="A16" s="9" t="s">
        <v>232</v>
      </c>
    </row>
    <row r="17" spans="1:4" x14ac:dyDescent="0.3">
      <c r="A17" t="s">
        <v>233</v>
      </c>
      <c r="B17" t="s">
        <v>234</v>
      </c>
      <c r="C17" t="s">
        <v>235</v>
      </c>
      <c r="D17" t="s">
        <v>226</v>
      </c>
    </row>
    <row r="18" spans="1:4" x14ac:dyDescent="0.3">
      <c r="A18" s="8" t="s">
        <v>239</v>
      </c>
      <c r="B18" s="8">
        <v>43</v>
      </c>
      <c r="C18" s="8">
        <v>8</v>
      </c>
      <c r="D18" s="10">
        <f xml:space="preserve"> Table3[[#This Row],[ delayed_shipments]]/Table3[[#This Row],[ total_shipments]]</f>
        <v>0.18604651162790697</v>
      </c>
    </row>
    <row r="19" spans="1:4" x14ac:dyDescent="0.3">
      <c r="A19" s="8" t="s">
        <v>238</v>
      </c>
      <c r="B19" s="8">
        <v>23</v>
      </c>
      <c r="C19" s="8">
        <v>5</v>
      </c>
      <c r="D19" s="10">
        <f xml:space="preserve"> Table3[[#This Row],[ delayed_shipments]]/Table3[[#This Row],[ total_shipments]]</f>
        <v>0.21739130434782608</v>
      </c>
    </row>
    <row r="20" spans="1:4" x14ac:dyDescent="0.3">
      <c r="A20" s="8" t="s">
        <v>237</v>
      </c>
      <c r="B20" s="8">
        <v>63</v>
      </c>
      <c r="C20" s="8">
        <v>14</v>
      </c>
      <c r="D20" s="10">
        <f xml:space="preserve"> Table3[[#This Row],[ delayed_shipments]]/Table3[[#This Row],[ total_shipments]]</f>
        <v>0.22222222222222221</v>
      </c>
    </row>
    <row r="21" spans="1:4" x14ac:dyDescent="0.3">
      <c r="A21" s="8" t="s">
        <v>236</v>
      </c>
      <c r="B21" s="8">
        <v>51</v>
      </c>
      <c r="C21" s="8">
        <v>13</v>
      </c>
      <c r="D21" s="10">
        <f xml:space="preserve"> Table3[[#This Row],[ delayed_shipments]]/Table3[[#This Row],[ total_shipments]]</f>
        <v>0.25490196078431371</v>
      </c>
    </row>
    <row r="24" spans="1:4" ht="15.6" x14ac:dyDescent="0.3">
      <c r="A24" s="9" t="s">
        <v>240</v>
      </c>
    </row>
    <row r="25" spans="1:4" x14ac:dyDescent="0.3">
      <c r="A25" t="s">
        <v>241</v>
      </c>
      <c r="B25" t="s">
        <v>242</v>
      </c>
    </row>
    <row r="26" spans="1:4" x14ac:dyDescent="0.3">
      <c r="A26" s="8" t="s">
        <v>243</v>
      </c>
      <c r="B26" s="8">
        <v>11</v>
      </c>
    </row>
    <row r="27" spans="1:4" x14ac:dyDescent="0.3">
      <c r="A27" s="8" t="s">
        <v>244</v>
      </c>
      <c r="B27" s="8">
        <v>9</v>
      </c>
    </row>
    <row r="28" spans="1:4" x14ac:dyDescent="0.3">
      <c r="A28" s="8" t="s">
        <v>245</v>
      </c>
      <c r="B28" s="8">
        <v>9</v>
      </c>
    </row>
    <row r="29" spans="1:4" x14ac:dyDescent="0.3">
      <c r="A29" s="8" t="s">
        <v>246</v>
      </c>
      <c r="B29" s="8">
        <v>6</v>
      </c>
    </row>
    <row r="30" spans="1:4" x14ac:dyDescent="0.3">
      <c r="A30" s="8" t="s">
        <v>247</v>
      </c>
      <c r="B30" s="8">
        <v>5</v>
      </c>
    </row>
    <row r="33" spans="1:4" ht="15.6" x14ac:dyDescent="0.3">
      <c r="A33" s="9" t="s">
        <v>248</v>
      </c>
    </row>
    <row r="34" spans="1:4" x14ac:dyDescent="0.3">
      <c r="A34" t="s">
        <v>249</v>
      </c>
      <c r="B34" t="s">
        <v>234</v>
      </c>
      <c r="C34" t="s">
        <v>235</v>
      </c>
      <c r="D34" t="s">
        <v>226</v>
      </c>
    </row>
    <row r="35" spans="1:4" x14ac:dyDescent="0.3">
      <c r="A35" s="8" t="s">
        <v>250</v>
      </c>
      <c r="B35" s="8">
        <v>31</v>
      </c>
      <c r="C35" s="8">
        <v>4</v>
      </c>
      <c r="D35" s="10">
        <f>Table5[[#This Row],[ delayed_shipments]]/Table5[[#This Row],[ total_shipments]]</f>
        <v>0.12903225806451613</v>
      </c>
    </row>
    <row r="36" spans="1:4" x14ac:dyDescent="0.3">
      <c r="A36" s="8" t="s">
        <v>251</v>
      </c>
      <c r="B36" s="8">
        <v>25</v>
      </c>
      <c r="C36" s="8">
        <v>2</v>
      </c>
      <c r="D36" s="10">
        <f>Table5[[#This Row],[ delayed_shipments]]/Table5[[#This Row],[ total_shipments]]</f>
        <v>0.08</v>
      </c>
    </row>
    <row r="37" spans="1:4" x14ac:dyDescent="0.3">
      <c r="A37" s="8" t="s">
        <v>252</v>
      </c>
      <c r="B37" s="8">
        <v>38</v>
      </c>
      <c r="C37" s="8">
        <v>7</v>
      </c>
      <c r="D37" s="10">
        <f>Table5[[#This Row],[ delayed_shipments]]/Table5[[#This Row],[ total_shipments]]</f>
        <v>0.18421052631578946</v>
      </c>
    </row>
    <row r="38" spans="1:4" x14ac:dyDescent="0.3">
      <c r="A38" s="8" t="s">
        <v>253</v>
      </c>
      <c r="B38" s="8">
        <v>22</v>
      </c>
      <c r="C38" s="8">
        <v>7</v>
      </c>
      <c r="D38" s="10">
        <f>Table5[[#This Row],[ delayed_shipments]]/Table5[[#This Row],[ total_shipments]]</f>
        <v>0.31818181818181818</v>
      </c>
    </row>
    <row r="39" spans="1:4" x14ac:dyDescent="0.3">
      <c r="A39" s="8" t="s">
        <v>254</v>
      </c>
      <c r="B39" s="8">
        <v>33</v>
      </c>
      <c r="C39" s="8">
        <v>10</v>
      </c>
      <c r="D39" s="10">
        <f>Table5[[#This Row],[ delayed_shipments]]/Table5[[#This Row],[ total_shipments]]</f>
        <v>0.30303030303030304</v>
      </c>
    </row>
    <row r="40" spans="1:4" x14ac:dyDescent="0.3">
      <c r="A40" s="8" t="s">
        <v>255</v>
      </c>
      <c r="B40" s="8">
        <v>31</v>
      </c>
      <c r="C40" s="8">
        <v>10</v>
      </c>
      <c r="D40" s="10">
        <f>Table5[[#This Row],[ delayed_shipments]]/Table5[[#This Row],[ total_shipments]]</f>
        <v>0.32258064516129031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6477-6A5B-47F0-9CDB-669487FBFA9A}">
  <dimension ref="B1:T14"/>
  <sheetViews>
    <sheetView showGridLines="0" tabSelected="1" zoomScale="60" zoomScaleNormal="60" workbookViewId="0">
      <selection activeCell="K9" sqref="K9"/>
    </sheetView>
  </sheetViews>
  <sheetFormatPr defaultRowHeight="14.4" x14ac:dyDescent="0.3"/>
  <cols>
    <col min="1" max="20" width="16.77734375" customWidth="1"/>
  </cols>
  <sheetData>
    <row r="1" spans="2:20" ht="40.799999999999997" x14ac:dyDescent="0.75">
      <c r="B1" s="13" t="s">
        <v>256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2:20" ht="36.6" x14ac:dyDescent="0.7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4" spans="2:20" ht="14.4" customHeight="1" x14ac:dyDescent="0.3">
      <c r="B4" s="14" t="s">
        <v>257</v>
      </c>
      <c r="C4" s="15"/>
      <c r="D4" s="15"/>
      <c r="E4" s="16"/>
      <c r="G4" s="14" t="s">
        <v>258</v>
      </c>
      <c r="H4" s="15"/>
      <c r="I4" s="15"/>
      <c r="J4" s="16"/>
      <c r="L4" s="14" t="s">
        <v>259</v>
      </c>
      <c r="M4" s="15"/>
      <c r="N4" s="15"/>
      <c r="O4" s="16"/>
      <c r="Q4" s="14" t="s">
        <v>260</v>
      </c>
      <c r="R4" s="15"/>
      <c r="S4" s="15"/>
      <c r="T4" s="16"/>
    </row>
    <row r="5" spans="2:20" ht="14.4" customHeight="1" x14ac:dyDescent="0.3">
      <c r="B5" s="17"/>
      <c r="C5" s="18"/>
      <c r="D5" s="18"/>
      <c r="E5" s="19"/>
      <c r="G5" s="17"/>
      <c r="H5" s="18"/>
      <c r="I5" s="18"/>
      <c r="J5" s="19"/>
      <c r="L5" s="17"/>
      <c r="M5" s="18"/>
      <c r="N5" s="18"/>
      <c r="O5" s="19"/>
      <c r="Q5" s="17"/>
      <c r="R5" s="18"/>
      <c r="S5" s="18"/>
      <c r="T5" s="19"/>
    </row>
    <row r="6" spans="2:20" ht="14.4" customHeight="1" x14ac:dyDescent="0.3">
      <c r="B6" s="20">
        <f xml:space="preserve"> Tables!A4</f>
        <v>180</v>
      </c>
      <c r="C6" s="21"/>
      <c r="D6" s="21"/>
      <c r="E6" s="22"/>
      <c r="G6" s="26">
        <f xml:space="preserve"> Tables!C4</f>
        <v>0.77777777777777779</v>
      </c>
      <c r="H6" s="27"/>
      <c r="I6" s="27"/>
      <c r="J6" s="28"/>
      <c r="L6" s="26">
        <f xml:space="preserve"> 1 - Tables!C4</f>
        <v>0.22222222222222221</v>
      </c>
      <c r="M6" s="27"/>
      <c r="N6" s="27"/>
      <c r="O6" s="28"/>
      <c r="Q6" s="20">
        <f xml:space="preserve"> Tables!A4 - Tables!B4</f>
        <v>40</v>
      </c>
      <c r="R6" s="21"/>
      <c r="S6" s="21"/>
      <c r="T6" s="22"/>
    </row>
    <row r="7" spans="2:20" ht="14.4" customHeight="1" x14ac:dyDescent="0.3">
      <c r="B7" s="23"/>
      <c r="C7" s="24"/>
      <c r="D7" s="24"/>
      <c r="E7" s="25"/>
      <c r="G7" s="29"/>
      <c r="H7" s="30"/>
      <c r="I7" s="30"/>
      <c r="J7" s="31"/>
      <c r="L7" s="29"/>
      <c r="M7" s="30"/>
      <c r="N7" s="30"/>
      <c r="O7" s="31"/>
      <c r="Q7" s="23"/>
      <c r="R7" s="24"/>
      <c r="S7" s="24"/>
      <c r="T7" s="25"/>
    </row>
    <row r="14" spans="2:20" x14ac:dyDescent="0.3">
      <c r="I14" s="6"/>
    </row>
  </sheetData>
  <mergeCells count="9">
    <mergeCell ref="B1:T1"/>
    <mergeCell ref="B4:E5"/>
    <mergeCell ref="B6:E7"/>
    <mergeCell ref="G4:J5"/>
    <mergeCell ref="G6:J7"/>
    <mergeCell ref="L4:O5"/>
    <mergeCell ref="L6:O7"/>
    <mergeCell ref="Q4:T5"/>
    <mergeCell ref="Q6:T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Random Values With Formulas</vt:lpstr>
      <vt:lpstr>Fixed Values</vt:lpstr>
      <vt:lpstr>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Shahid</dc:creator>
  <cp:lastModifiedBy>Mohammed Shahid</cp:lastModifiedBy>
  <dcterms:created xsi:type="dcterms:W3CDTF">2026-02-14T02:07:24Z</dcterms:created>
  <dcterms:modified xsi:type="dcterms:W3CDTF">2026-02-23T07:21:06Z</dcterms:modified>
</cp:coreProperties>
</file>